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filterPrivacy="1" codeName="ThisWorkbook"/>
  <xr:revisionPtr revIDLastSave="0" documentId="13_ncr:1_{79BAC354-81E8-452D-8333-4C40134E3A51}" xr6:coauthVersionLast="47" xr6:coauthVersionMax="47" xr10:uidLastSave="{00000000-0000-0000-0000-000000000000}"/>
  <bookViews>
    <workbookView xWindow="-110" yWindow="-110" windowWidth="38620" windowHeight="21100" tabRatio="822" activeTab="6" xr2:uid="{00000000-000D-0000-FFFF-FFFF00000000}"/>
  </bookViews>
  <sheets>
    <sheet name="JSON出力ツール" sheetId="8" r:id="rId1"/>
    <sheet name="IDクラス出力ツール" sheetId="33" r:id="rId2"/>
    <sheet name="素材" sheetId="27" r:id="rId3"/>
    <sheet name="ノード" sheetId="26" r:id="rId4"/>
    <sheet name="ノードコスト" sheetId="34" r:id="rId5"/>
    <sheet name="ノードIO" sheetId="35" r:id="rId6"/>
    <sheet name="章" sheetId="32" r:id="rId7"/>
    <sheet name="依頼" sheetId="30" r:id="rId8"/>
    <sheet name="依頼種別" sheetId="36" r:id="rId9"/>
    <sheet name="依頼主" sheetId="37" r:id="rId10"/>
    <sheet name="バフ、デバフ" sheetId="29" r:id="rId11"/>
    <sheet name="バフ、デバフ種別" sheetId="38" r:id="rId12"/>
  </sheets>
  <functionGroups builtInGroupCount="19"/>
  <externalReferences>
    <externalReference r:id="rId13"/>
  </externalReferences>
  <definedNames>
    <definedName name="_xleta.SEARCH" hidden="1" xlm="1">#NAME?</definedName>
    <definedName name="_xleta.VLOOKUP" hidden="1" xlm="1">#NAME?</definedName>
    <definedName name="_xlpm.o" hidden="1" xlm="1">#NAME?</definedName>
    <definedName name="_xlpm.output_list" hidden="1" xlm="1">#NAME?</definedName>
    <definedName name="_xlpm.results" hidden="1" xlm="1">#NAME?</definedName>
    <definedName name="_xlpm.s" hidden="1" xlm="1">#NAME?</definedName>
    <definedName name="_xlpm.search_list" hidden="1" xlm="1">#NAME?</definedName>
    <definedName name="_xlpm.search_vals" hidden="1" xlm="1">#NAME?</definedName>
    <definedName name="_xlpm.v" hidden="1" xlm="1">#NAME?</definedName>
    <definedName name="キャラ">#REF!</definedName>
    <definedName name="キャララベル" localSheetId="3">#REF!</definedName>
    <definedName name="キャララベル">#REF!</definedName>
    <definedName name="キャラリスト" localSheetId="3">#REF!</definedName>
    <definedName name="キャラリスト">#REF!</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3" i="29" l="1"/>
  <c r="L13" i="29" a="1"/>
  <c r="L13" i="29" s="1"/>
  <c r="K13" i="29" a="1"/>
  <c r="K13" i="29" s="1"/>
  <c r="D13" i="29"/>
  <c r="M7" i="29"/>
  <c r="M8" i="29"/>
  <c r="M9" i="29"/>
  <c r="M10" i="29"/>
  <c r="M11" i="29"/>
  <c r="M12" i="29"/>
  <c r="M14" i="29"/>
  <c r="M6" i="29"/>
  <c r="L12" i="29" a="1"/>
  <c r="L12" i="29" s="1"/>
  <c r="K12" i="29" a="1"/>
  <c r="K12" i="29" s="1"/>
  <c r="D12" i="29"/>
  <c r="A26" i="34"/>
  <c r="S62" i="35"/>
  <c r="R62" i="35" a="1"/>
  <c r="R62" i="35" s="1"/>
  <c r="Q62" i="35" a="1"/>
  <c r="Q62" i="35" s="1"/>
  <c r="P62" i="35" a="1"/>
  <c r="P62" i="35" s="1"/>
  <c r="O62" i="35" a="1"/>
  <c r="O62" i="35" s="1"/>
  <c r="A62" i="35"/>
  <c r="S61" i="35"/>
  <c r="R61" i="35" a="1"/>
  <c r="R61" i="35" s="1"/>
  <c r="Q61" i="35" a="1"/>
  <c r="Q61" i="35" s="1"/>
  <c r="P61" i="35" a="1"/>
  <c r="P61" i="35" s="1"/>
  <c r="O61" i="35" a="1"/>
  <c r="O61" i="35" s="1"/>
  <c r="A61" i="35"/>
  <c r="S60" i="35"/>
  <c r="R60" i="35" a="1"/>
  <c r="R60" i="35" s="1"/>
  <c r="Q60" i="35" a="1"/>
  <c r="Q60" i="35" s="1"/>
  <c r="P60" i="35" a="1"/>
  <c r="P60" i="35" s="1"/>
  <c r="O60" i="35" a="1"/>
  <c r="O60" i="35" s="1"/>
  <c r="A60" i="35"/>
  <c r="S59" i="35"/>
  <c r="R59" i="35" a="1"/>
  <c r="R59" i="35" s="1"/>
  <c r="Q59" i="35" a="1"/>
  <c r="Q59" i="35" s="1"/>
  <c r="P59" i="35" a="1"/>
  <c r="P59" i="35" s="1"/>
  <c r="O59" i="35" a="1"/>
  <c r="O59" i="35" s="1"/>
  <c r="A59" i="35"/>
  <c r="S58" i="35"/>
  <c r="R58" i="35" a="1"/>
  <c r="R58" i="35" s="1"/>
  <c r="Q58" i="35" a="1"/>
  <c r="Q58" i="35" s="1"/>
  <c r="P58" i="35" a="1"/>
  <c r="P58" i="35" s="1"/>
  <c r="O58" i="35" a="1"/>
  <c r="O58" i="35" s="1"/>
  <c r="A58" i="35"/>
  <c r="S57" i="35"/>
  <c r="R57" i="35" a="1"/>
  <c r="R57" i="35" s="1"/>
  <c r="Q57" i="35" a="1"/>
  <c r="Q57" i="35" s="1"/>
  <c r="P57" i="35" a="1"/>
  <c r="P57" i="35" s="1"/>
  <c r="O57" i="35" a="1"/>
  <c r="O57" i="35" s="1"/>
  <c r="A57" i="35"/>
  <c r="S56" i="35"/>
  <c r="R56" i="35" a="1"/>
  <c r="R56" i="35" s="1"/>
  <c r="Q56" i="35" a="1"/>
  <c r="Q56" i="35" s="1"/>
  <c r="P56" i="35" a="1"/>
  <c r="P56" i="35" s="1"/>
  <c r="O56" i="35" a="1"/>
  <c r="O56" i="35" s="1"/>
  <c r="A56" i="35"/>
  <c r="S55" i="35"/>
  <c r="R55" i="35" a="1"/>
  <c r="R55" i="35" s="1"/>
  <c r="Q55" i="35" a="1"/>
  <c r="Q55" i="35" s="1"/>
  <c r="P55" i="35" a="1"/>
  <c r="P55" i="35" s="1"/>
  <c r="O55" i="35" a="1"/>
  <c r="O55" i="35" s="1"/>
  <c r="A55" i="35"/>
  <c r="S54" i="35"/>
  <c r="R54" i="35" a="1"/>
  <c r="R54" i="35" s="1"/>
  <c r="Q54" i="35" a="1"/>
  <c r="Q54" i="35" s="1"/>
  <c r="P54" i="35" a="1"/>
  <c r="P54" i="35" s="1"/>
  <c r="O54" i="35" a="1"/>
  <c r="O54" i="35" s="1"/>
  <c r="A54" i="35"/>
  <c r="S53" i="35"/>
  <c r="R53" i="35" a="1"/>
  <c r="R53" i="35" s="1"/>
  <c r="Q53" i="35" a="1"/>
  <c r="Q53" i="35" s="1"/>
  <c r="P53" i="35" a="1"/>
  <c r="P53" i="35" s="1"/>
  <c r="O53" i="35" a="1"/>
  <c r="O53" i="35" s="1"/>
  <c r="A53" i="35"/>
  <c r="S52" i="35"/>
  <c r="R52" i="35" a="1"/>
  <c r="R52" i="35" s="1"/>
  <c r="Q52" i="35" a="1"/>
  <c r="Q52" i="35" s="1"/>
  <c r="P52" i="35" a="1"/>
  <c r="P52" i="35" s="1"/>
  <c r="O52" i="35" a="1"/>
  <c r="O52" i="35" s="1"/>
  <c r="A52" i="35"/>
  <c r="A55" i="34"/>
  <c r="A54" i="34"/>
  <c r="A53" i="34"/>
  <c r="A52" i="34"/>
  <c r="A51" i="34"/>
  <c r="A50" i="34"/>
  <c r="A49" i="34"/>
  <c r="A48" i="34"/>
  <c r="D47" i="34"/>
  <c r="D48" i="34" s="1"/>
  <c r="D49" i="34" s="1"/>
  <c r="D50" i="34" s="1"/>
  <c r="D51" i="34" s="1"/>
  <c r="D52" i="34" s="1"/>
  <c r="D53" i="34" s="1"/>
  <c r="D54" i="34" s="1"/>
  <c r="D55" i="34" s="1"/>
  <c r="A47" i="34"/>
  <c r="A46" i="34"/>
  <c r="D7" i="29"/>
  <c r="D8" i="29"/>
  <c r="D9" i="29"/>
  <c r="D10" i="29"/>
  <c r="D11" i="29"/>
  <c r="D14" i="29"/>
  <c r="D6" i="29"/>
  <c r="S51" i="35"/>
  <c r="R51" i="35" a="1"/>
  <c r="R51" i="35" s="1"/>
  <c r="Q51" i="35" a="1"/>
  <c r="Q51" i="35" s="1"/>
  <c r="P51" i="35" a="1"/>
  <c r="P51" i="35" s="1"/>
  <c r="O51" i="35" a="1"/>
  <c r="O51" i="35" s="1"/>
  <c r="A51" i="35"/>
  <c r="S50" i="35"/>
  <c r="R50" i="35" a="1"/>
  <c r="R50" i="35" s="1"/>
  <c r="Q50" i="35" a="1"/>
  <c r="Q50" i="35" s="1"/>
  <c r="P50" i="35" a="1"/>
  <c r="P50" i="35" s="1"/>
  <c r="O50" i="35" a="1"/>
  <c r="O50" i="35" s="1"/>
  <c r="A50" i="35"/>
  <c r="S18" i="35"/>
  <c r="R18" i="35" a="1"/>
  <c r="R18" i="35" s="1"/>
  <c r="Q18" i="35" a="1"/>
  <c r="Q18" i="35" s="1"/>
  <c r="P18" i="35" a="1"/>
  <c r="P18" i="35" s="1"/>
  <c r="O18" i="35" a="1"/>
  <c r="O18" i="35" s="1"/>
  <c r="A18" i="35"/>
  <c r="L6" i="29" a="1"/>
  <c r="L6" i="29" s="1"/>
  <c r="K6" i="29" a="1"/>
  <c r="K6" i="29" s="1"/>
  <c r="L9" i="29" a="1"/>
  <c r="L9" i="29" s="1"/>
  <c r="K9" i="29" a="1"/>
  <c r="K9" i="29" s="1"/>
  <c r="L8" i="29" a="1"/>
  <c r="L8" i="29" s="1"/>
  <c r="K8" i="29" a="1"/>
  <c r="K8" i="29" s="1"/>
  <c r="L7" i="29" a="1"/>
  <c r="L7" i="29" s="1"/>
  <c r="K7" i="29" a="1"/>
  <c r="K7" i="29" s="1"/>
  <c r="O63" i="35" a="1"/>
  <c r="O63" i="35" s="1"/>
  <c r="O7" i="35" a="1"/>
  <c r="O7" i="35" s="1"/>
  <c r="O8" i="35" a="1"/>
  <c r="O8" i="35" s="1"/>
  <c r="O9" i="35" a="1"/>
  <c r="O9" i="35" s="1"/>
  <c r="O10" i="35" a="1"/>
  <c r="O10" i="35" s="1"/>
  <c r="O11" i="35" a="1"/>
  <c r="O11" i="35" s="1"/>
  <c r="O12" i="35" a="1"/>
  <c r="O12" i="35" s="1"/>
  <c r="O13" i="35" a="1"/>
  <c r="O13" i="35" s="1"/>
  <c r="O14" i="35" a="1"/>
  <c r="O14" i="35" s="1"/>
  <c r="O15" i="35" a="1"/>
  <c r="O15" i="35" s="1"/>
  <c r="O16" i="35" a="1"/>
  <c r="O16" i="35" s="1"/>
  <c r="O17" i="35" a="1"/>
  <c r="O17" i="35" s="1"/>
  <c r="O19" i="35" a="1"/>
  <c r="O19" i="35" s="1"/>
  <c r="O20" i="35" a="1"/>
  <c r="O20" i="35" s="1"/>
  <c r="O21" i="35" a="1"/>
  <c r="O21" i="35" s="1"/>
  <c r="O22" i="35" a="1"/>
  <c r="O22" i="35" s="1"/>
  <c r="O23" i="35" a="1"/>
  <c r="O23" i="35" s="1"/>
  <c r="O24" i="35" a="1"/>
  <c r="O24" i="35" s="1"/>
  <c r="O25" i="35" a="1"/>
  <c r="O25" i="35" s="1"/>
  <c r="O26" i="35" a="1"/>
  <c r="O26" i="35" s="1"/>
  <c r="O27" i="35" a="1"/>
  <c r="O27" i="35" s="1"/>
  <c r="O28" i="35" a="1"/>
  <c r="O28" i="35" s="1"/>
  <c r="O29" i="35" a="1"/>
  <c r="O29" i="35" s="1"/>
  <c r="O30" i="35" a="1"/>
  <c r="O30" i="35" s="1"/>
  <c r="O31" i="35" a="1"/>
  <c r="O31" i="35" s="1"/>
  <c r="O32" i="35" a="1"/>
  <c r="O32" i="35" s="1"/>
  <c r="O33" i="35" a="1"/>
  <c r="O33" i="35" s="1"/>
  <c r="O34" i="35" a="1"/>
  <c r="O34" i="35" s="1"/>
  <c r="O35" i="35" a="1"/>
  <c r="O35" i="35" s="1"/>
  <c r="O36" i="35" a="1"/>
  <c r="O36" i="35" s="1"/>
  <c r="O37" i="35" a="1"/>
  <c r="O37" i="35" s="1"/>
  <c r="O38" i="35" a="1"/>
  <c r="O38" i="35" s="1"/>
  <c r="O39" i="35" a="1"/>
  <c r="O39" i="35" s="1"/>
  <c r="O40" i="35" a="1"/>
  <c r="O40" i="35" s="1"/>
  <c r="O41" i="35" a="1"/>
  <c r="O41" i="35" s="1"/>
  <c r="O42" i="35" a="1"/>
  <c r="O42" i="35" s="1"/>
  <c r="O43" i="35" a="1"/>
  <c r="O43" i="35" s="1"/>
  <c r="O44" i="35" a="1"/>
  <c r="O44" i="35" s="1"/>
  <c r="O45" i="35" a="1"/>
  <c r="O45" i="35" s="1"/>
  <c r="O46" i="35" a="1"/>
  <c r="O46" i="35" s="1"/>
  <c r="O47" i="35" a="1"/>
  <c r="O47" i="35" s="1"/>
  <c r="O48" i="35" a="1"/>
  <c r="O48" i="35" s="1"/>
  <c r="O49" i="35" a="1"/>
  <c r="O49" i="35" s="1"/>
  <c r="G7" i="30"/>
  <c r="G8" i="30"/>
  <c r="G9" i="30"/>
  <c r="G10" i="30"/>
  <c r="G11" i="30"/>
  <c r="G12" i="30"/>
  <c r="G13" i="30"/>
  <c r="G14" i="30"/>
  <c r="G15" i="30"/>
  <c r="G16" i="30"/>
  <c r="G17" i="30"/>
  <c r="G18" i="30"/>
  <c r="G19" i="30"/>
  <c r="G20" i="30"/>
  <c r="G6" i="30"/>
  <c r="P20" i="30"/>
  <c r="Q20" i="30" a="1"/>
  <c r="Q20" i="30" s="1"/>
  <c r="R20" i="30"/>
  <c r="S20" i="30"/>
  <c r="A63" i="35"/>
  <c r="P11" i="30"/>
  <c r="Q11" i="30" a="1"/>
  <c r="Q11" i="30" s="1"/>
  <c r="R11" i="30"/>
  <c r="S11" i="30"/>
  <c r="P12" i="30"/>
  <c r="Q12" i="30" a="1"/>
  <c r="Q12" i="30" s="1"/>
  <c r="R12" i="30"/>
  <c r="S12" i="30"/>
  <c r="P13" i="30"/>
  <c r="Q13" i="30" a="1"/>
  <c r="Q13" i="30" s="1"/>
  <c r="R13" i="30"/>
  <c r="S13" i="30"/>
  <c r="P14" i="30"/>
  <c r="Q14" i="30" a="1"/>
  <c r="Q14" i="30" s="1"/>
  <c r="R14" i="30"/>
  <c r="S14" i="30"/>
  <c r="P15" i="30"/>
  <c r="Q15" i="30" a="1"/>
  <c r="Q15" i="30" s="1"/>
  <c r="R15" i="30"/>
  <c r="S15" i="30"/>
  <c r="P16" i="30"/>
  <c r="Q16" i="30" a="1"/>
  <c r="Q16" i="30" s="1"/>
  <c r="R16" i="30"/>
  <c r="S16" i="30"/>
  <c r="P17" i="30"/>
  <c r="Q17" i="30" a="1"/>
  <c r="Q17" i="30" s="1"/>
  <c r="R17" i="30"/>
  <c r="S17" i="30"/>
  <c r="P18" i="30"/>
  <c r="Q18" i="30" a="1"/>
  <c r="Q18" i="30" s="1"/>
  <c r="R18" i="30"/>
  <c r="S18" i="30"/>
  <c r="P19" i="30"/>
  <c r="Q19" i="30" a="1"/>
  <c r="Q19" i="30" s="1"/>
  <c r="R19" i="30"/>
  <c r="S19" i="30"/>
  <c r="S10" i="30"/>
  <c r="R10" i="30"/>
  <c r="Q10" i="30" a="1"/>
  <c r="Q10" i="30" s="1"/>
  <c r="P10" i="30"/>
  <c r="S9" i="30"/>
  <c r="R9" i="30"/>
  <c r="Q9" i="30" a="1"/>
  <c r="Q9" i="30" s="1"/>
  <c r="P9" i="30"/>
  <c r="Q8" i="30" a="1"/>
  <c r="Q8" i="30" s="1"/>
  <c r="Q7" i="30" a="1"/>
  <c r="Q7" i="30" s="1"/>
  <c r="P7" i="30"/>
  <c r="P8" i="30"/>
  <c r="P6" i="30"/>
  <c r="Q6" i="30" a="1"/>
  <c r="Q6" i="30" s="1"/>
  <c r="R6" i="30"/>
  <c r="R7" i="30"/>
  <c r="S7" i="30"/>
  <c r="R8" i="30"/>
  <c r="S8" i="30"/>
  <c r="S46" i="35"/>
  <c r="R46" i="35" a="1"/>
  <c r="R46" i="35" s="1"/>
  <c r="Q46" i="35" a="1"/>
  <c r="Q46" i="35" s="1"/>
  <c r="P46" i="35" a="1"/>
  <c r="P46" i="35" s="1"/>
  <c r="A46" i="35"/>
  <c r="S45" i="35"/>
  <c r="R45" i="35" a="1"/>
  <c r="R45" i="35" s="1"/>
  <c r="Q45" i="35" a="1"/>
  <c r="Q45" i="35" s="1"/>
  <c r="P45" i="35" a="1"/>
  <c r="P45" i="35" s="1"/>
  <c r="A45" i="35"/>
  <c r="S44" i="35"/>
  <c r="R44" i="35" a="1"/>
  <c r="R44" i="35" s="1"/>
  <c r="Q44" i="35" a="1"/>
  <c r="Q44" i="35" s="1"/>
  <c r="P44" i="35" a="1"/>
  <c r="P44" i="35" s="1"/>
  <c r="A44" i="35"/>
  <c r="S43" i="35"/>
  <c r="R43" i="35" a="1"/>
  <c r="R43" i="35" s="1"/>
  <c r="Q43" i="35" a="1"/>
  <c r="Q43" i="35" s="1"/>
  <c r="P43" i="35" a="1"/>
  <c r="P43" i="35" s="1"/>
  <c r="A43" i="35"/>
  <c r="S42" i="35"/>
  <c r="R42" i="35" a="1"/>
  <c r="R42" i="35" s="1"/>
  <c r="Q42" i="35" a="1"/>
  <c r="Q42" i="35" s="1"/>
  <c r="P42" i="35" a="1"/>
  <c r="P42" i="35" s="1"/>
  <c r="A42" i="35"/>
  <c r="S41" i="35"/>
  <c r="R41" i="35" a="1"/>
  <c r="R41" i="35" s="1"/>
  <c r="Q41" i="35" a="1"/>
  <c r="Q41" i="35" s="1"/>
  <c r="P41" i="35" a="1"/>
  <c r="P41" i="35" s="1"/>
  <c r="A41" i="35"/>
  <c r="S40" i="35"/>
  <c r="R40" i="35" a="1"/>
  <c r="R40" i="35" s="1"/>
  <c r="Q40" i="35" a="1"/>
  <c r="Q40" i="35" s="1"/>
  <c r="P40" i="35" a="1"/>
  <c r="P40" i="35" s="1"/>
  <c r="A40" i="35"/>
  <c r="A30" i="35"/>
  <c r="P30" i="35" a="1"/>
  <c r="P30" i="35" s="1"/>
  <c r="Q30" i="35" a="1"/>
  <c r="Q30" i="35" s="1"/>
  <c r="R30" i="35" a="1"/>
  <c r="R30" i="35" s="1"/>
  <c r="A31" i="35"/>
  <c r="P31" i="35" a="1"/>
  <c r="P31" i="35" s="1"/>
  <c r="Q31" i="35" a="1"/>
  <c r="Q31" i="35" s="1"/>
  <c r="R31" i="35" a="1"/>
  <c r="R31" i="35" s="1"/>
  <c r="A32" i="35"/>
  <c r="P32" i="35" a="1"/>
  <c r="P32" i="35" s="1"/>
  <c r="Q32" i="35" a="1"/>
  <c r="Q32" i="35" s="1"/>
  <c r="R32" i="35" a="1"/>
  <c r="R32" i="35" s="1"/>
  <c r="A33" i="35"/>
  <c r="P33" i="35" a="1"/>
  <c r="P33" i="35" s="1"/>
  <c r="Q33" i="35" a="1"/>
  <c r="Q33" i="35" s="1"/>
  <c r="R33" i="35" a="1"/>
  <c r="R33" i="35" s="1"/>
  <c r="A34" i="35"/>
  <c r="P34" i="35" a="1"/>
  <c r="P34" i="35" s="1"/>
  <c r="Q34" i="35" a="1"/>
  <c r="Q34" i="35" s="1"/>
  <c r="R34" i="35" a="1"/>
  <c r="R34" i="35" s="1"/>
  <c r="A35" i="35"/>
  <c r="P35" i="35" a="1"/>
  <c r="P35" i="35" s="1"/>
  <c r="Q35" i="35" a="1"/>
  <c r="Q35" i="35" s="1"/>
  <c r="R35" i="35" a="1"/>
  <c r="R35" i="35" s="1"/>
  <c r="A36" i="35"/>
  <c r="P36" i="35" a="1"/>
  <c r="P36" i="35" s="1"/>
  <c r="Q36" i="35" a="1"/>
  <c r="Q36" i="35" s="1"/>
  <c r="R36" i="35" a="1"/>
  <c r="R36" i="35" s="1"/>
  <c r="A37" i="35"/>
  <c r="P37" i="35" a="1"/>
  <c r="P37" i="35" s="1"/>
  <c r="Q37" i="35" a="1"/>
  <c r="Q37" i="35" s="1"/>
  <c r="R37" i="35" a="1"/>
  <c r="R37" i="35" s="1"/>
  <c r="A38" i="35"/>
  <c r="P38" i="35" a="1"/>
  <c r="P38" i="35" s="1"/>
  <c r="Q38" i="35" a="1"/>
  <c r="Q38" i="35" s="1"/>
  <c r="R38" i="35" a="1"/>
  <c r="R38" i="35" s="1"/>
  <c r="A39" i="35"/>
  <c r="P39" i="35" a="1"/>
  <c r="P39" i="35" s="1"/>
  <c r="Q39" i="35" a="1"/>
  <c r="Q39" i="35" s="1"/>
  <c r="R39" i="35" a="1"/>
  <c r="R39" i="35" s="1"/>
  <c r="A47" i="35"/>
  <c r="P47" i="35" a="1"/>
  <c r="P47" i="35" s="1"/>
  <c r="Q47" i="35" a="1"/>
  <c r="Q47" i="35" s="1"/>
  <c r="R47" i="35" a="1"/>
  <c r="R47" i="35" s="1"/>
  <c r="A48" i="35"/>
  <c r="P48" i="35" a="1"/>
  <c r="P48" i="35" s="1"/>
  <c r="Q48" i="35" a="1"/>
  <c r="Q48" i="35" s="1"/>
  <c r="R48" i="35" a="1"/>
  <c r="R48" i="35" s="1"/>
  <c r="A49" i="35"/>
  <c r="P49" i="35" a="1"/>
  <c r="P49" i="35" s="1"/>
  <c r="Q49" i="35" a="1"/>
  <c r="Q49" i="35" s="1"/>
  <c r="R49" i="35" a="1"/>
  <c r="R49" i="35" s="1"/>
  <c r="P63" i="35" a="1"/>
  <c r="P63" i="35" s="1"/>
  <c r="Q63" i="35" a="1"/>
  <c r="Q63" i="35" s="1"/>
  <c r="R63" i="35" a="1"/>
  <c r="R63" i="35" s="1"/>
  <c r="R29" i="35" a="1"/>
  <c r="R29" i="35" s="1"/>
  <c r="Q29" i="35" a="1"/>
  <c r="Q29" i="35" s="1"/>
  <c r="P29" i="35" a="1"/>
  <c r="P29" i="35" s="1"/>
  <c r="P9" i="35" a="1"/>
  <c r="P9" i="35" s="1"/>
  <c r="Q9" i="35" a="1"/>
  <c r="Q9" i="35" s="1"/>
  <c r="R9" i="35" a="1"/>
  <c r="R9" i="35" s="1"/>
  <c r="P10" i="35" a="1"/>
  <c r="P10" i="35" s="1"/>
  <c r="Q10" i="35" a="1"/>
  <c r="Q10" i="35" s="1"/>
  <c r="R10" i="35" a="1"/>
  <c r="R10" i="35" s="1"/>
  <c r="P11" i="35" a="1"/>
  <c r="P11" i="35" s="1"/>
  <c r="Q11" i="35" a="1"/>
  <c r="Q11" i="35" s="1"/>
  <c r="R11" i="35" a="1"/>
  <c r="R11" i="35" s="1"/>
  <c r="P12" i="35" a="1"/>
  <c r="P12" i="35" s="1"/>
  <c r="Q12" i="35" a="1"/>
  <c r="Q12" i="35" s="1"/>
  <c r="R12" i="35" a="1"/>
  <c r="R12" i="35" s="1"/>
  <c r="P13" i="35" a="1"/>
  <c r="P13" i="35" s="1"/>
  <c r="Q13" i="35" a="1"/>
  <c r="Q13" i="35" s="1"/>
  <c r="R13" i="35" a="1"/>
  <c r="R13" i="35" s="1"/>
  <c r="P14" i="35" a="1"/>
  <c r="P14" i="35" s="1"/>
  <c r="Q14" i="35" a="1"/>
  <c r="Q14" i="35" s="1"/>
  <c r="R14" i="35" a="1"/>
  <c r="R14" i="35" s="1"/>
  <c r="P15" i="35" a="1"/>
  <c r="P15" i="35" s="1"/>
  <c r="Q15" i="35" a="1"/>
  <c r="Q15" i="35" s="1"/>
  <c r="R15" i="35" a="1"/>
  <c r="R15" i="35" s="1"/>
  <c r="P16" i="35" a="1"/>
  <c r="P16" i="35" s="1"/>
  <c r="Q16" i="35" a="1"/>
  <c r="Q16" i="35" s="1"/>
  <c r="R16" i="35" a="1"/>
  <c r="R16" i="35" s="1"/>
  <c r="P17" i="35" a="1"/>
  <c r="P17" i="35" s="1"/>
  <c r="Q17" i="35" a="1"/>
  <c r="Q17" i="35" s="1"/>
  <c r="R17" i="35" a="1"/>
  <c r="R17" i="35" s="1"/>
  <c r="P8" i="35" a="1"/>
  <c r="P8" i="35" s="1"/>
  <c r="Q8" i="35" a="1"/>
  <c r="Q8" i="35" s="1"/>
  <c r="R8" i="35" a="1"/>
  <c r="R8" i="35" s="1"/>
  <c r="S7" i="35"/>
  <c r="S8" i="35"/>
  <c r="S9" i="35"/>
  <c r="S10" i="35"/>
  <c r="S11" i="35"/>
  <c r="S12" i="35"/>
  <c r="S13" i="35"/>
  <c r="S14" i="35"/>
  <c r="S15" i="35"/>
  <c r="S16" i="35"/>
  <c r="S17" i="35"/>
  <c r="S19" i="35"/>
  <c r="S20" i="35"/>
  <c r="S21" i="35"/>
  <c r="S22" i="35"/>
  <c r="S23" i="35"/>
  <c r="S24" i="35"/>
  <c r="S25" i="35"/>
  <c r="S26" i="35"/>
  <c r="S27" i="35"/>
  <c r="S28" i="35"/>
  <c r="S29" i="35"/>
  <c r="S30" i="35"/>
  <c r="S31" i="35"/>
  <c r="S32" i="35"/>
  <c r="S33" i="35"/>
  <c r="S34" i="35"/>
  <c r="S35" i="35"/>
  <c r="S36" i="35"/>
  <c r="S37" i="35"/>
  <c r="S38" i="35"/>
  <c r="S39" i="35"/>
  <c r="S47" i="35"/>
  <c r="S48" i="35"/>
  <c r="S49" i="35"/>
  <c r="S63" i="35"/>
  <c r="S6" i="35"/>
  <c r="A8" i="35"/>
  <c r="A9" i="35"/>
  <c r="A10" i="35"/>
  <c r="A11" i="35"/>
  <c r="A12" i="35"/>
  <c r="A13" i="35"/>
  <c r="A14" i="35"/>
  <c r="A15" i="35"/>
  <c r="A16" i="35"/>
  <c r="A17" i="35"/>
  <c r="A19" i="35"/>
  <c r="A20" i="35"/>
  <c r="A21" i="35"/>
  <c r="A22" i="35"/>
  <c r="A23" i="35"/>
  <c r="A24" i="35"/>
  <c r="A25" i="35"/>
  <c r="A26" i="35"/>
  <c r="A27" i="35"/>
  <c r="A28" i="35"/>
  <c r="A29" i="35"/>
  <c r="R7" i="35" a="1"/>
  <c r="R7" i="35" s="1"/>
  <c r="Q7" i="35" a="1"/>
  <c r="Q7" i="35" s="1"/>
  <c r="P7" i="35" a="1"/>
  <c r="P7" i="35" s="1"/>
  <c r="R6" i="35" a="1"/>
  <c r="R6" i="35" s="1"/>
  <c r="Q6" i="35" a="1"/>
  <c r="Q6" i="35" s="1"/>
  <c r="P6" i="35" a="1"/>
  <c r="P6" i="35" s="1"/>
  <c r="O6" i="35" a="1"/>
  <c r="O6" i="35" s="1"/>
  <c r="A6" i="35"/>
  <c r="A7" i="35"/>
  <c r="P21" i="35" a="1"/>
  <c r="P21" i="35" s="1"/>
  <c r="Q21" i="35" a="1"/>
  <c r="Q21" i="35" s="1"/>
  <c r="R21" i="35" a="1"/>
  <c r="R21" i="35" s="1"/>
  <c r="P22" i="35" a="1"/>
  <c r="P22" i="35" s="1"/>
  <c r="Q22" i="35" a="1"/>
  <c r="Q22" i="35" s="1"/>
  <c r="R22" i="35" a="1"/>
  <c r="R22" i="35" s="1"/>
  <c r="P23" i="35" a="1"/>
  <c r="P23" i="35" s="1"/>
  <c r="Q23" i="35" a="1"/>
  <c r="Q23" i="35" s="1"/>
  <c r="R23" i="35" a="1"/>
  <c r="R23" i="35" s="1"/>
  <c r="P24" i="35" a="1"/>
  <c r="P24" i="35" s="1"/>
  <c r="Q24" i="35" a="1"/>
  <c r="Q24" i="35" s="1"/>
  <c r="R24" i="35" a="1"/>
  <c r="R24" i="35" s="1"/>
  <c r="P25" i="35" a="1"/>
  <c r="P25" i="35" s="1"/>
  <c r="Q25" i="35" a="1"/>
  <c r="Q25" i="35" s="1"/>
  <c r="R25" i="35" a="1"/>
  <c r="R25" i="35" s="1"/>
  <c r="P26" i="35" a="1"/>
  <c r="P26" i="35" s="1"/>
  <c r="Q26" i="35" a="1"/>
  <c r="Q26" i="35" s="1"/>
  <c r="R26" i="35" a="1"/>
  <c r="R26" i="35" s="1"/>
  <c r="P27" i="35" a="1"/>
  <c r="P27" i="35" s="1"/>
  <c r="Q27" i="35" a="1"/>
  <c r="Q27" i="35" s="1"/>
  <c r="R27" i="35" a="1"/>
  <c r="R27" i="35" s="1"/>
  <c r="P28" i="35" a="1"/>
  <c r="P28" i="35" s="1"/>
  <c r="Q28" i="35" a="1"/>
  <c r="Q28" i="35" s="1"/>
  <c r="R28" i="35" a="1"/>
  <c r="R28" i="35" s="1"/>
  <c r="P19" i="35" a="1"/>
  <c r="P19" i="35" s="1"/>
  <c r="P20" i="35" a="1"/>
  <c r="P20" i="35" s="1"/>
  <c r="D37" i="34"/>
  <c r="D38" i="34" s="1"/>
  <c r="D39" i="34" s="1"/>
  <c r="D40" i="34" s="1"/>
  <c r="D41" i="34" s="1"/>
  <c r="D42" i="34" s="1"/>
  <c r="D43" i="34" s="1"/>
  <c r="D44" i="34" s="1"/>
  <c r="D45" i="34" s="1"/>
  <c r="A39" i="34"/>
  <c r="A40" i="34"/>
  <c r="A41" i="34"/>
  <c r="A42" i="34"/>
  <c r="A43" i="34"/>
  <c r="A44" i="34"/>
  <c r="A45" i="34"/>
  <c r="A29" i="34"/>
  <c r="A30" i="34"/>
  <c r="A31" i="34"/>
  <c r="A32" i="34"/>
  <c r="A33" i="34"/>
  <c r="A34" i="34"/>
  <c r="A35" i="34"/>
  <c r="A36" i="34"/>
  <c r="A37" i="34"/>
  <c r="A38" i="34"/>
  <c r="D28" i="34"/>
  <c r="D29" i="34" s="1"/>
  <c r="D30" i="34" s="1"/>
  <c r="D31" i="34" s="1"/>
  <c r="D32" i="34" s="1"/>
  <c r="D33" i="34" s="1"/>
  <c r="D34" i="34" s="1"/>
  <c r="D35" i="34" s="1"/>
  <c r="A28" i="34"/>
  <c r="A27" i="34"/>
  <c r="A18" i="34"/>
  <c r="A19" i="34"/>
  <c r="A20" i="34"/>
  <c r="A21" i="34"/>
  <c r="A22" i="34"/>
  <c r="A23" i="34"/>
  <c r="A24" i="34"/>
  <c r="A25" i="34"/>
  <c r="D17" i="34"/>
  <c r="D18" i="34" s="1"/>
  <c r="D19" i="34" s="1"/>
  <c r="D20" i="34" s="1"/>
  <c r="D21" i="34" s="1"/>
  <c r="D22" i="34" s="1"/>
  <c r="D23" i="34" s="1"/>
  <c r="D24" i="34" s="1"/>
  <c r="D25" i="34" s="1"/>
  <c r="A17" i="34"/>
  <c r="A16" i="34"/>
  <c r="D7" i="34"/>
  <c r="D8" i="34" s="1"/>
  <c r="D9" i="34" s="1"/>
  <c r="D10" i="34" s="1"/>
  <c r="D11" i="34" s="1"/>
  <c r="D12" i="34" s="1"/>
  <c r="D13" i="34" s="1"/>
  <c r="D14" i="34" s="1"/>
  <c r="D15" i="34" s="1"/>
  <c r="A12" i="34"/>
  <c r="A13" i="34"/>
  <c r="A14" i="34"/>
  <c r="A15" i="34"/>
  <c r="A6" i="34"/>
  <c r="A7" i="34"/>
  <c r="A8" i="34"/>
  <c r="A9" i="34"/>
  <c r="A10" i="34"/>
  <c r="A11" i="34"/>
  <c r="R20" i="35" a="1"/>
  <c r="R20" i="35" s="1"/>
  <c r="Q20" i="35" a="1"/>
  <c r="Q20" i="35" s="1"/>
  <c r="R19" i="35" a="1"/>
  <c r="R19" i="35" s="1"/>
  <c r="Q19" i="35" a="1"/>
  <c r="Q19" i="35" s="1"/>
  <c r="K10" i="29" a="1"/>
  <c r="K10" i="29" s="1"/>
  <c r="L10" i="29" a="1"/>
  <c r="L10" i="29" s="1"/>
  <c r="L11" i="29" a="1"/>
  <c r="L11" i="29" s="1"/>
  <c r="L14" i="29" a="1"/>
  <c r="L14" i="29" s="1"/>
  <c r="K11" i="29" a="1"/>
  <c r="K11" i="29" s="1"/>
  <c r="K14" i="29" a="1"/>
  <c r="K14" i="29" s="1"/>
  <c r="F6" i="33"/>
  <c r="S6" i="30"/>
  <c r="E8" i="27" a="1"/>
  <c r="E11" i="27" a="1"/>
  <c r="E6" i="27" a="1"/>
  <c r="E7" i="27" a="1"/>
  <c r="E12" i="27" a="1"/>
  <c r="E9" i="27" a="1"/>
  <c r="E10" i="27" a="1"/>
  <c r="E13" i="27" a="1"/>
  <c r="E13" i="27" l="1"/>
  <c r="E12" i="27"/>
  <c r="E11" i="27"/>
  <c r="E10" i="27"/>
  <c r="E9" i="27"/>
  <c r="E8" i="27"/>
  <c r="E7" i="27"/>
  <c r="E6" i="27"/>
  <c r="D6" i="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<sst xmlns="http://schemas.openxmlformats.org/spreadsheetml/2006/main" count="874" uniqueCount="307">
  <si>
    <t>出力設定</t>
    <rPh sb="0" eb="2">
      <t>シュツリョク</t>
    </rPh>
    <rPh sb="2" eb="4">
      <t>セッテイ</t>
    </rPh>
    <phoneticPr fontId="12"/>
  </si>
  <si>
    <t>出力名</t>
    <rPh sb="0" eb="2">
      <t>シュツリョク</t>
    </rPh>
    <rPh sb="2" eb="3">
      <t>メイ</t>
    </rPh>
    <phoneticPr fontId="12"/>
  </si>
  <si>
    <t>JSON、CSファイル出力ツール</t>
    <rPh sb="11" eb="13">
      <t>シュツリョク</t>
    </rPh>
    <phoneticPr fontId="12"/>
  </si>
  <si>
    <t>注意</t>
  </si>
  <si>
    <t>※シート名や、ファイル名には半角スペースを使用しないでください。</t>
  </si>
  <si>
    <t>※シート名や、ファイル名は、半角/全角問わず31文字以下に設定してください。</t>
  </si>
  <si>
    <t>※出力補助は、できる限り「sort」「add」「inc」の順で使ってください。</t>
    <rPh sb="1" eb="3">
      <t>シュツリョク</t>
    </rPh>
    <rPh sb="3" eb="5">
      <t>ホジョ</t>
    </rPh>
    <rPh sb="10" eb="11">
      <t>カギ</t>
    </rPh>
    <rPh sb="29" eb="30">
      <t>ジュン</t>
    </rPh>
    <rPh sb="31" eb="32">
      <t>ツカ</t>
    </rPh>
    <phoneticPr fontId="12"/>
  </si>
  <si>
    <t>説明</t>
    <rPh sb="0" eb="2">
      <t>セツメイ</t>
    </rPh>
    <phoneticPr fontId="12"/>
  </si>
  <si>
    <t>JSON出力ツールはエクセルデータから一部を切り出して</t>
    <rPh sb="4" eb="6">
      <t>シュツリョク</t>
    </rPh>
    <rPh sb="19" eb="21">
      <t>イチブ</t>
    </rPh>
    <rPh sb="22" eb="23">
      <t>キ</t>
    </rPh>
    <rPh sb="24" eb="25">
      <t>ダ</t>
    </rPh>
    <phoneticPr fontId="12"/>
  </si>
  <si>
    <t>JSONファイルとC#のクラスファイルを出力するためのツールです。</t>
    <rPh sb="20" eb="22">
      <t>シュツリョク</t>
    </rPh>
    <phoneticPr fontId="12"/>
  </si>
  <si>
    <t>まとめられたデータは、エクセルと同じ階層に「json」のフォルダを作成し、</t>
    <rPh sb="16" eb="17">
      <t>オナ</t>
    </rPh>
    <rPh sb="18" eb="20">
      <t>カイソウ</t>
    </rPh>
    <rPh sb="33" eb="35">
      <t>サクセイ</t>
    </rPh>
    <phoneticPr fontId="12"/>
  </si>
  <si>
    <t>その中に、UTF-8、BOMなしのcsファイルを出力していきます。</t>
    <rPh sb="2" eb="3">
      <t>ナカ</t>
    </rPh>
    <rPh sb="24" eb="26">
      <t>シュツリョク</t>
    </rPh>
    <phoneticPr fontId="12"/>
  </si>
  <si>
    <t>使用方法</t>
    <rPh sb="0" eb="2">
      <t>シヨウ</t>
    </rPh>
    <rPh sb="2" eb="4">
      <t>ホウホウ</t>
    </rPh>
    <phoneticPr fontId="12"/>
  </si>
  <si>
    <t>出力設定に、出力したいシートの名前を設定します。</t>
    <rPh sb="18" eb="20">
      <t>セッテイ</t>
    </rPh>
    <phoneticPr fontId="12"/>
  </si>
  <si>
    <t>出力名に、出力するときのファイル名を指定します。</t>
  </si>
  <si>
    <t>白色の列以外からとりたい場合は、出力設定のセルの色を変更することで、</t>
    <rPh sb="16" eb="18">
      <t>シュツリョク</t>
    </rPh>
    <rPh sb="18" eb="20">
      <t>セッテイ</t>
    </rPh>
    <phoneticPr fontId="12"/>
  </si>
  <si>
    <t>設定した色の列を出力するようになります。</t>
    <rPh sb="0" eb="2">
      <t>セッテイ</t>
    </rPh>
    <phoneticPr fontId="12"/>
  </si>
  <si>
    <t>変数名行に[変数名:型名]と指定して使用します。</t>
    <rPh sb="0" eb="2">
      <t>ヘンスウ</t>
    </rPh>
    <rPh sb="2" eb="3">
      <t>メイ</t>
    </rPh>
    <rPh sb="3" eb="4">
      <t>ギョウ</t>
    </rPh>
    <rPh sb="6" eb="8">
      <t>ヘンスウ</t>
    </rPh>
    <rPh sb="8" eb="9">
      <t>メイ</t>
    </rPh>
    <rPh sb="10" eb="12">
      <t>カタメイ</t>
    </rPh>
    <rPh sb="14" eb="16">
      <t>シテイ</t>
    </rPh>
    <rPh sb="18" eb="20">
      <t>シヨウ</t>
    </rPh>
    <phoneticPr fontId="12"/>
  </si>
  <si>
    <t>変数名がそのままC#ファイルでの変数名となります。</t>
    <rPh sb="0" eb="2">
      <t>ヘンスウ</t>
    </rPh>
    <rPh sb="2" eb="3">
      <t>メイ</t>
    </rPh>
    <rPh sb="16" eb="19">
      <t>ヘンスウメイ</t>
    </rPh>
    <phoneticPr fontId="12"/>
  </si>
  <si>
    <t>同じ変数名の物は配列として出力されます。</t>
    <rPh sb="0" eb="1">
      <t>オナ</t>
    </rPh>
    <rPh sb="2" eb="4">
      <t>ヘンスウ</t>
    </rPh>
    <rPh sb="4" eb="5">
      <t>メイ</t>
    </rPh>
    <rPh sb="6" eb="7">
      <t>モノ</t>
    </rPh>
    <rPh sb="8" eb="10">
      <t>ハイレツ</t>
    </rPh>
    <rPh sb="13" eb="15">
      <t>シュツリョク</t>
    </rPh>
    <phoneticPr fontId="12"/>
  </si>
  <si>
    <r>
      <t>「</t>
    </r>
    <r>
      <rPr>
        <b/>
        <sz val="10"/>
        <color theme="1"/>
        <rFont val="ＭＳ Ｐゴシック"/>
        <family val="3"/>
        <charset val="128"/>
        <scheme val="minor"/>
      </rPr>
      <t>追加読み込み</t>
    </r>
    <r>
      <rPr>
        <sz val="10"/>
        <color theme="1"/>
        <rFont val="ＭＳ Ｐゴシック"/>
        <family val="2"/>
        <charset val="128"/>
        <scheme val="minor"/>
      </rPr>
      <t>」行から下1行をC#のクラスファイルへ追加で出力をします。</t>
    </r>
    <rPh sb="1" eb="3">
      <t>ツイカ</t>
    </rPh>
    <rPh sb="3" eb="4">
      <t>ヨ</t>
    </rPh>
    <rPh sb="5" eb="6">
      <t>コ</t>
    </rPh>
    <rPh sb="11" eb="12">
      <t>シタ</t>
    </rPh>
    <rPh sb="26" eb="28">
      <t>ツイカ</t>
    </rPh>
    <rPh sb="29" eb="31">
      <t>シュツリョク</t>
    </rPh>
    <phoneticPr fontId="12"/>
  </si>
  <si>
    <t>独自クラスの定義の追加などにお使いください。</t>
    <rPh sb="0" eb="2">
      <t>ドクジ</t>
    </rPh>
    <rPh sb="6" eb="8">
      <t>テイギ</t>
    </rPh>
    <rPh sb="9" eb="11">
      <t>ツイカ</t>
    </rPh>
    <rPh sb="15" eb="16">
      <t>ツカ</t>
    </rPh>
    <phoneticPr fontId="12"/>
  </si>
  <si>
    <t>埋め込まれた改行やタブに合わせてある程度自動でコード整形をします。</t>
    <rPh sb="0" eb="1">
      <t>ウ</t>
    </rPh>
    <rPh sb="2" eb="3">
      <t>コ</t>
    </rPh>
    <rPh sb="6" eb="8">
      <t>カイギョウ</t>
    </rPh>
    <rPh sb="12" eb="13">
      <t>ア</t>
    </rPh>
    <rPh sb="18" eb="20">
      <t>テイド</t>
    </rPh>
    <rPh sb="20" eb="22">
      <t>ジドウ</t>
    </rPh>
    <rPh sb="26" eb="28">
      <t>セイケイ</t>
    </rPh>
    <phoneticPr fontId="12"/>
  </si>
  <si>
    <r>
      <t>「</t>
    </r>
    <r>
      <rPr>
        <b/>
        <sz val="10"/>
        <color theme="1"/>
        <rFont val="ＭＳ Ｐゴシック"/>
        <family val="3"/>
        <charset val="128"/>
        <scheme val="minor"/>
      </rPr>
      <t>キーデータ</t>
    </r>
    <r>
      <rPr>
        <sz val="10"/>
        <color theme="1"/>
        <rFont val="ＭＳ Ｐゴシック"/>
        <family val="2"/>
        <charset val="128"/>
        <scheme val="minor"/>
      </rPr>
      <t>」行から下1行キーとしてC#のクラスファイルへ追加でアクセスユーティリティを出力をします。</t>
    </r>
    <rPh sb="10" eb="11">
      <t>シタ</t>
    </rPh>
    <rPh sb="29" eb="31">
      <t>ツイカ</t>
    </rPh>
    <rPh sb="44" eb="46">
      <t>シュツリョク</t>
    </rPh>
    <phoneticPr fontId="12"/>
  </si>
  <si>
    <r>
      <t>入力規約は</t>
    </r>
    <r>
      <rPr>
        <b/>
        <sz val="10"/>
        <color theme="1"/>
        <rFont val="ＭＳ Ｐゴシック"/>
        <family val="3"/>
        <charset val="128"/>
        <scheme val="minor"/>
      </rPr>
      <t>[キー名(, キー名...)]</t>
    </r>
    <r>
      <rPr>
        <sz val="10"/>
        <color theme="1"/>
        <rFont val="ＭＳ Ｐゴシック"/>
        <family val="2"/>
        <charset val="128"/>
        <scheme val="minor"/>
      </rPr>
      <t>です。</t>
    </r>
    <rPh sb="0" eb="2">
      <t>ニュウリョク</t>
    </rPh>
    <rPh sb="2" eb="4">
      <t>キヤク</t>
    </rPh>
    <rPh sb="8" eb="9">
      <t>メイ</t>
    </rPh>
    <rPh sb="14" eb="15">
      <t>メイ</t>
    </rPh>
    <phoneticPr fontId="12"/>
  </si>
  <si>
    <t>単一の場合はその変数の型が、複数の場合は"_"で組み合わせたstring型となります。</t>
    <rPh sb="0" eb="2">
      <t>タンイツ</t>
    </rPh>
    <rPh sb="3" eb="5">
      <t>バアイ</t>
    </rPh>
    <rPh sb="8" eb="10">
      <t>ヘンスウ</t>
    </rPh>
    <rPh sb="11" eb="12">
      <t>カタ</t>
    </rPh>
    <rPh sb="14" eb="16">
      <t>フクスウ</t>
    </rPh>
    <rPh sb="17" eb="19">
      <t>バアイ</t>
    </rPh>
    <rPh sb="24" eb="25">
      <t>ク</t>
    </rPh>
    <rPh sb="26" eb="27">
      <t>ア</t>
    </rPh>
    <rPh sb="36" eb="37">
      <t>ガタ</t>
    </rPh>
    <phoneticPr fontId="12"/>
  </si>
  <si>
    <t>追加</t>
    <rPh sb="0" eb="2">
      <t>ツイカ</t>
    </rPh>
    <phoneticPr fontId="12"/>
  </si>
  <si>
    <t>csファイルで、namespaseでData.Masterを切るように変更。</t>
    <rPh sb="30" eb="31">
      <t>キ</t>
    </rPh>
    <rPh sb="35" eb="37">
      <t>ヘンコウ</t>
    </rPh>
    <phoneticPr fontId="12"/>
  </si>
  <si>
    <t>csファイルで、Clone()メソッドを追加するように変更。</t>
    <rPh sb="20" eb="22">
      <t>ツイカ</t>
    </rPh>
    <rPh sb="27" eb="29">
      <t>ヘンコウ</t>
    </rPh>
    <phoneticPr fontId="12"/>
  </si>
  <si>
    <t>ここから</t>
    <phoneticPr fontId="11"/>
  </si>
  <si>
    <t>ID</t>
    <phoneticPr fontId="11"/>
  </si>
  <si>
    <t>ここまで</t>
    <phoneticPr fontId="11"/>
  </si>
  <si>
    <t>「+」で複数シートつなげられないバグを修正。</t>
    <rPh sb="4" eb="6">
      <t>フクスウ</t>
    </rPh>
    <rPh sb="19" eb="21">
      <t>シュウセイ</t>
    </rPh>
    <phoneticPr fontId="12"/>
  </si>
  <si>
    <t>出力するクラス名に数値が入らないように対応。</t>
    <rPh sb="0" eb="2">
      <t>シュツリョク</t>
    </rPh>
    <rPh sb="7" eb="8">
      <t>メイ</t>
    </rPh>
    <rPh sb="9" eb="11">
      <t>スウチ</t>
    </rPh>
    <rPh sb="12" eb="13">
      <t>ハイ</t>
    </rPh>
    <rPh sb="19" eb="21">
      <t>タイオウ</t>
    </rPh>
    <phoneticPr fontId="12"/>
  </si>
  <si>
    <t>アンダーバーで区切られた中がすべて数値だった場合無視するようになりました。</t>
    <rPh sb="7" eb="9">
      <t>クギ</t>
    </rPh>
    <rPh sb="12" eb="13">
      <t>ナカ</t>
    </rPh>
    <rPh sb="17" eb="19">
      <t>スウチ</t>
    </rPh>
    <rPh sb="22" eb="24">
      <t>バアイ</t>
    </rPh>
    <rPh sb="24" eb="26">
      <t>ムシ</t>
    </rPh>
    <phoneticPr fontId="12"/>
  </si>
  <si>
    <t>名前</t>
    <rPh sb="0" eb="2">
      <t>ナマエ</t>
    </rPh>
    <phoneticPr fontId="11"/>
  </si>
  <si>
    <t>データの頭に//がある列は出力しないように対応</t>
    <rPh sb="4" eb="5">
      <t>アタマ</t>
    </rPh>
    <rPh sb="11" eb="12">
      <t>レツ</t>
    </rPh>
    <rPh sb="13" eb="15">
      <t>シュツリョク</t>
    </rPh>
    <rPh sb="21" eb="23">
      <t>タイオウ</t>
    </rPh>
    <phoneticPr fontId="12"/>
  </si>
  <si>
    <t>実行ボタンを押すと、指定したシートの中の、</t>
    <phoneticPr fontId="12"/>
  </si>
  <si>
    <r>
      <t>「</t>
    </r>
    <r>
      <rPr>
        <b/>
        <sz val="10"/>
        <color theme="1"/>
        <rFont val="ＭＳ Ｐゴシック"/>
        <family val="3"/>
        <charset val="128"/>
        <scheme val="minor"/>
      </rPr>
      <t>ここから</t>
    </r>
    <r>
      <rPr>
        <sz val="10"/>
        <color theme="1"/>
        <rFont val="ＭＳ Ｐゴシック"/>
        <family val="2"/>
        <charset val="128"/>
        <scheme val="minor"/>
      </rPr>
      <t>」行から、「</t>
    </r>
    <r>
      <rPr>
        <b/>
        <sz val="10"/>
        <color theme="1"/>
        <rFont val="ＭＳ Ｐゴシック"/>
        <family val="3"/>
        <charset val="128"/>
        <scheme val="minor"/>
      </rPr>
      <t>ここまで</t>
    </r>
    <r>
      <rPr>
        <sz val="10"/>
        <color theme="1"/>
        <rFont val="ＭＳ Ｐゴシック"/>
        <family val="2"/>
        <charset val="128"/>
        <scheme val="minor"/>
      </rPr>
      <t>」の、行の間の白色の列の取ってきます。</t>
    </r>
    <phoneticPr fontId="12"/>
  </si>
  <si>
    <t>色ではなく、セルを直接指定したい場合は、</t>
    <phoneticPr fontId="12"/>
  </si>
  <si>
    <t>シート名の後ろに「!」を入力し、そのあとカンマ区切りで列の名称を入力すれば、</t>
    <phoneticPr fontId="12"/>
  </si>
  <si>
    <t>その入力順に出力します。（例：sheet1!B,C,A)</t>
    <phoneticPr fontId="12"/>
  </si>
  <si>
    <t>「!」以降であれば、スペース、改行は自由にして大丈夫です。</t>
    <phoneticPr fontId="12"/>
  </si>
  <si>
    <t>「-」を「-1」に変化して出力するように対応</t>
    <rPh sb="9" eb="11">
      <t>ヘンカ</t>
    </rPh>
    <rPh sb="13" eb="15">
      <t>シュツリョク</t>
    </rPh>
    <rPh sb="20" eb="22">
      <t>タイオウ</t>
    </rPh>
    <phoneticPr fontId="12"/>
  </si>
  <si>
    <t>17/4/19 追加</t>
    <phoneticPr fontId="12"/>
  </si>
  <si>
    <t>17/9/21 追加</t>
    <phoneticPr fontId="12"/>
  </si>
  <si>
    <t>17/9/23 追加</t>
    <phoneticPr fontId="12"/>
  </si>
  <si>
    <t>17/10/17 追加</t>
    <phoneticPr fontId="12"/>
  </si>
  <si>
    <t>17/10/20 追加</t>
    <phoneticPr fontId="12"/>
  </si>
  <si>
    <t>17/12/19 修正</t>
    <rPh sb="9" eb="11">
      <t>シュウセイ</t>
    </rPh>
    <phoneticPr fontId="12"/>
  </si>
  <si>
    <t>条件付き書式でC列の色を塗った時も出力しないように対応</t>
    <rPh sb="0" eb="3">
      <t>ジョウケンツ</t>
    </rPh>
    <rPh sb="4" eb="6">
      <t>ショシキ</t>
    </rPh>
    <rPh sb="8" eb="9">
      <t>レツ</t>
    </rPh>
    <rPh sb="10" eb="11">
      <t>イロ</t>
    </rPh>
    <rPh sb="12" eb="13">
      <t>ヌ</t>
    </rPh>
    <rPh sb="15" eb="16">
      <t>トキ</t>
    </rPh>
    <rPh sb="17" eb="19">
      <t>シュツリョク</t>
    </rPh>
    <rPh sb="25" eb="27">
      <t>タイオウ</t>
    </rPh>
    <phoneticPr fontId="12"/>
  </si>
  <si>
    <t>Id:int</t>
    <phoneticPr fontId="11"/>
  </si>
  <si>
    <t>DisplayName:string</t>
    <phoneticPr fontId="11"/>
  </si>
  <si>
    <t>入力リソース</t>
    <rPh sb="0" eb="2">
      <t>ニュウリョク</t>
    </rPh>
    <phoneticPr fontId="12"/>
  </si>
  <si>
    <t>入力量</t>
    <rPh sb="0" eb="3">
      <t>ニュウリョクリョウ</t>
    </rPh>
    <phoneticPr fontId="12"/>
  </si>
  <si>
    <t>水</t>
  </si>
  <si>
    <t>電気</t>
  </si>
  <si>
    <t>食料</t>
  </si>
  <si>
    <t>DisplayName:string</t>
    <phoneticPr fontId="11"/>
  </si>
  <si>
    <t>Color:Color</t>
    <phoneticPr fontId="11"/>
  </si>
  <si>
    <t>色</t>
    <rPh sb="0" eb="1">
      <t>イロ</t>
    </rPh>
    <phoneticPr fontId="11"/>
  </si>
  <si>
    <t>色（出力サンプル）</t>
    <rPh sb="0" eb="1">
      <t>イロ</t>
    </rPh>
    <rPh sb="2" eb="4">
      <t>シュツリョク</t>
    </rPh>
    <phoneticPr fontId="11"/>
  </si>
  <si>
    <t>なし</t>
    <phoneticPr fontId="11"/>
  </si>
  <si>
    <t>InputResourceTypes:int[]</t>
    <phoneticPr fontId="11"/>
  </si>
  <si>
    <t>資金</t>
    <rPh sb="0" eb="1">
      <t>シキン</t>
    </rPh>
    <phoneticPr fontId="11"/>
  </si>
  <si>
    <t>出力リソース</t>
    <rPh sb="0" eb="2">
      <t>シュツリョク</t>
    </rPh>
    <phoneticPr fontId="12"/>
  </si>
  <si>
    <t>出力量</t>
    <rPh sb="0" eb="2">
      <t>シュツリョク</t>
    </rPh>
    <rPh sb="2" eb="3">
      <t>リョウ</t>
    </rPh>
    <phoneticPr fontId="12"/>
  </si>
  <si>
    <t>OutputResourceTypes:int[]</t>
    <phoneticPr fontId="11"/>
  </si>
  <si>
    <t>全て</t>
  </si>
  <si>
    <t>全て</t>
    <phoneticPr fontId="11"/>
  </si>
  <si>
    <t>Type:int</t>
    <phoneticPr fontId="11"/>
  </si>
  <si>
    <t>Description:string</t>
    <phoneticPr fontId="11"/>
  </si>
  <si>
    <t>説明</t>
    <rPh sb="0" eb="2">
      <t>セツメイ</t>
    </rPh>
    <phoneticPr fontId="11"/>
  </si>
  <si>
    <t>対象ノード</t>
    <rPh sb="0" eb="2">
      <t>タイショウ</t>
    </rPh>
    <phoneticPr fontId="11"/>
  </si>
  <si>
    <t>素材</t>
  </si>
  <si>
    <t>resource_data</t>
    <phoneticPr fontId="11"/>
  </si>
  <si>
    <t>ノード</t>
    <phoneticPr fontId="11"/>
  </si>
  <si>
    <t>バフ、デバフ</t>
  </si>
  <si>
    <t>依頼</t>
    <rPh sb="0" eb="2">
      <t>イライ</t>
    </rPh>
    <phoneticPr fontId="11"/>
  </si>
  <si>
    <t>node_data</t>
    <phoneticPr fontId="11"/>
  </si>
  <si>
    <t>effect_data</t>
    <phoneticPr fontId="11"/>
  </si>
  <si>
    <t>request_data</t>
    <phoneticPr fontId="11"/>
  </si>
  <si>
    <t>DisplayTitle:string</t>
    <phoneticPr fontId="11"/>
  </si>
  <si>
    <t>タイトル</t>
    <phoneticPr fontId="11"/>
  </si>
  <si>
    <t>詳細</t>
    <rPh sb="0" eb="2">
      <t>ショウサイ</t>
    </rPh>
    <phoneticPr fontId="11"/>
  </si>
  <si>
    <t>対象資源</t>
    <rPh sb="0" eb="2">
      <t>タイショウ</t>
    </rPh>
    <rPh sb="2" eb="4">
      <t>シゲン</t>
    </rPh>
    <phoneticPr fontId="11"/>
  </si>
  <si>
    <t>Chapter:int</t>
    <phoneticPr fontId="11"/>
  </si>
  <si>
    <t>対立する依頼</t>
    <rPh sb="0" eb="2">
      <t>タイリツ</t>
    </rPh>
    <rPh sb="4" eb="6">
      <t>イライ</t>
    </rPh>
    <phoneticPr fontId="11"/>
  </si>
  <si>
    <t>TargetNodes:int[]</t>
    <phoneticPr fontId="11"/>
  </si>
  <si>
    <t>TargetResources:int[]</t>
    <phoneticPr fontId="11"/>
  </si>
  <si>
    <t>SuccesedEffect:int</t>
    <phoneticPr fontId="11"/>
  </si>
  <si>
    <t>FailedEffect:int</t>
    <phoneticPr fontId="11"/>
  </si>
  <si>
    <t>成功特典</t>
    <rPh sb="0" eb="2">
      <t>セイコウ</t>
    </rPh>
    <rPh sb="2" eb="4">
      <t>トクテン</t>
    </rPh>
    <phoneticPr fontId="11"/>
  </si>
  <si>
    <t>失敗ペナルティ</t>
    <rPh sb="0" eb="2">
      <t>シッパイ</t>
    </rPh>
    <phoneticPr fontId="11"/>
  </si>
  <si>
    <t>-</t>
    <phoneticPr fontId="11"/>
  </si>
  <si>
    <t>Value:int</t>
    <phoneticPr fontId="11"/>
  </si>
  <si>
    <t>章</t>
    <rPh sb="0" eb="1">
      <t>ショウ</t>
    </rPh>
    <phoneticPr fontId="11"/>
  </si>
  <si>
    <t>chapter_data</t>
    <phoneticPr fontId="11"/>
  </si>
  <si>
    <t>第２章</t>
    <rPh sb="1" eb="2">
      <t>ショウ</t>
    </rPh>
    <phoneticPr fontId="11"/>
  </si>
  <si>
    <t>生成コスト（0は制作不可）</t>
    <rPh sb="0" eb="2">
      <t>セイセイ</t>
    </rPh>
    <rPh sb="8" eb="10">
      <t>セイサク</t>
    </rPh>
    <rPh sb="10" eb="12">
      <t>フカ</t>
    </rPh>
    <phoneticPr fontId="11"/>
  </si>
  <si>
    <t>名前列</t>
    <rPh sb="0" eb="2">
      <t>ナマエ</t>
    </rPh>
    <rPh sb="2" eb="3">
      <t>レツ</t>
    </rPh>
    <phoneticPr fontId="12"/>
  </si>
  <si>
    <t>ID列</t>
    <rPh sb="2" eb="3">
      <t>レツ</t>
    </rPh>
    <phoneticPr fontId="12"/>
  </si>
  <si>
    <t>IDクラス出力ツール</t>
    <rPh sb="5" eb="7">
      <t>シュツリョク</t>
    </rPh>
    <phoneticPr fontId="12"/>
  </si>
  <si>
    <t>ID出力ツールはエクセルデータから一部を切り出して</t>
    <rPh sb="2" eb="4">
      <t>シュツリョク</t>
    </rPh>
    <rPh sb="17" eb="19">
      <t>イチブ</t>
    </rPh>
    <rPh sb="20" eb="21">
      <t>キ</t>
    </rPh>
    <rPh sb="22" eb="23">
      <t>ダ</t>
    </rPh>
    <phoneticPr fontId="12"/>
  </si>
  <si>
    <t>C#のクラスファイルとしてIDクラスを出力するためのツールです。</t>
    <rPh sb="19" eb="21">
      <t>シュツリョク</t>
    </rPh>
    <phoneticPr fontId="12"/>
  </si>
  <si>
    <t>まとめられたデータは、エクセルと同じ階層に「id」のフォルダを作成し、</t>
    <rPh sb="16" eb="17">
      <t>オナ</t>
    </rPh>
    <rPh sb="18" eb="20">
      <t>カイソウ</t>
    </rPh>
    <rPh sb="31" eb="33">
      <t>サクセイ</t>
    </rPh>
    <phoneticPr fontId="12"/>
  </si>
  <si>
    <t>名前列に、出力時の変数名として使うデータの入力された列を指定します。</t>
    <rPh sb="0" eb="2">
      <t>ナマエ</t>
    </rPh>
    <rPh sb="2" eb="3">
      <t>レツ</t>
    </rPh>
    <rPh sb="5" eb="7">
      <t>シュツリョク</t>
    </rPh>
    <rPh sb="7" eb="8">
      <t>ジ</t>
    </rPh>
    <rPh sb="9" eb="12">
      <t>ヘンスウメイ</t>
    </rPh>
    <rPh sb="15" eb="16">
      <t>ツカ</t>
    </rPh>
    <rPh sb="21" eb="23">
      <t>ニュウリョク</t>
    </rPh>
    <rPh sb="26" eb="27">
      <t>レツ</t>
    </rPh>
    <rPh sb="28" eb="30">
      <t>シテイ</t>
    </rPh>
    <phoneticPr fontId="12"/>
  </si>
  <si>
    <t>ID列に、出力時にIDとして使うデータの入力された列をしていします。</t>
    <rPh sb="2" eb="3">
      <t>レツ</t>
    </rPh>
    <rPh sb="5" eb="7">
      <t>シュツリョク</t>
    </rPh>
    <rPh sb="7" eb="8">
      <t>ジ</t>
    </rPh>
    <rPh sb="14" eb="15">
      <t>ツカ</t>
    </rPh>
    <rPh sb="20" eb="22">
      <t>ニュウリョク</t>
    </rPh>
    <rPh sb="25" eb="26">
      <t>レツ</t>
    </rPh>
    <phoneticPr fontId="12"/>
  </si>
  <si>
    <t>A列を名前列として使用する場合はAと入力してください。</t>
    <rPh sb="1" eb="2">
      <t>レツ</t>
    </rPh>
    <rPh sb="3" eb="5">
      <t>ナマエ</t>
    </rPh>
    <rPh sb="5" eb="6">
      <t>レツ</t>
    </rPh>
    <rPh sb="9" eb="11">
      <t>シヨウ</t>
    </rPh>
    <rPh sb="13" eb="15">
      <t>バアイ</t>
    </rPh>
    <rPh sb="18" eb="20">
      <t>ニュウリョク</t>
    </rPh>
    <phoneticPr fontId="12"/>
  </si>
  <si>
    <t>17/7/18 修正</t>
    <rPh sb="8" eb="10">
      <t>シュウセイ</t>
    </rPh>
    <phoneticPr fontId="12"/>
  </si>
  <si>
    <t>複数設定した場合、１行前の要素も含んで出力されていたのを修正</t>
    <rPh sb="0" eb="2">
      <t>フクスウ</t>
    </rPh>
    <rPh sb="2" eb="4">
      <t>セッテイ</t>
    </rPh>
    <rPh sb="6" eb="8">
      <t>バアイ</t>
    </rPh>
    <rPh sb="10" eb="11">
      <t>ギョウ</t>
    </rPh>
    <rPh sb="11" eb="12">
      <t>マエ</t>
    </rPh>
    <rPh sb="13" eb="15">
      <t>ヨウソ</t>
    </rPh>
    <rPh sb="16" eb="17">
      <t>フク</t>
    </rPh>
    <rPh sb="19" eb="21">
      <t>シュツリョク</t>
    </rPh>
    <rPh sb="28" eb="30">
      <t>シュウセイ</t>
    </rPh>
    <phoneticPr fontId="12"/>
  </si>
  <si>
    <t>17/7/19 修正</t>
    <rPh sb="8" eb="10">
      <t>シュウセイ</t>
    </rPh>
    <phoneticPr fontId="12"/>
  </si>
  <si>
    <t>enumに変更。</t>
    <rPh sb="5" eb="7">
      <t>ヘンコウ</t>
    </rPh>
    <phoneticPr fontId="12"/>
  </si>
  <si>
    <t>17/7/21 修正</t>
    <rPh sb="8" eb="10">
      <t>シュウセイ</t>
    </rPh>
    <phoneticPr fontId="12"/>
  </si>
  <si>
    <t>idが32768を超えるとエラーが出ていた問題に対応。</t>
    <rPh sb="9" eb="10">
      <t>コ</t>
    </rPh>
    <rPh sb="17" eb="18">
      <t>デ</t>
    </rPh>
    <rPh sb="21" eb="23">
      <t>モンダイ</t>
    </rPh>
    <rPh sb="24" eb="26">
      <t>タイオウ</t>
    </rPh>
    <phoneticPr fontId="12"/>
  </si>
  <si>
    <t>17/12/13 修正</t>
    <rPh sb="9" eb="11">
      <t>シュウセイ</t>
    </rPh>
    <phoneticPr fontId="12"/>
  </si>
  <si>
    <t>出力するIDが数値じゃない場合出力しないように対応。</t>
    <rPh sb="0" eb="2">
      <t>シュツリョク</t>
    </rPh>
    <rPh sb="7" eb="9">
      <t>スウチ</t>
    </rPh>
    <rPh sb="13" eb="15">
      <t>バアイ</t>
    </rPh>
    <rPh sb="15" eb="17">
      <t>シュツリョク</t>
    </rPh>
    <rPh sb="23" eb="25">
      <t>タイオウ</t>
    </rPh>
    <phoneticPr fontId="12"/>
  </si>
  <si>
    <t>条件付き書式でE列の色を塗った時も出力しないように対応</t>
    <rPh sb="0" eb="3">
      <t>ジョウケンツ</t>
    </rPh>
    <rPh sb="4" eb="6">
      <t>ショシキ</t>
    </rPh>
    <rPh sb="8" eb="9">
      <t>レツ</t>
    </rPh>
    <rPh sb="10" eb="11">
      <t>イロ</t>
    </rPh>
    <rPh sb="12" eb="13">
      <t>ヌ</t>
    </rPh>
    <rPh sb="15" eb="16">
      <t>トキ</t>
    </rPh>
    <rPh sb="17" eb="19">
      <t>シュツリョク</t>
    </rPh>
    <rPh sb="25" eb="27">
      <t>タイオウ</t>
    </rPh>
    <phoneticPr fontId="12"/>
  </si>
  <si>
    <t>B</t>
    <phoneticPr fontId="11"/>
  </si>
  <si>
    <t>A</t>
    <phoneticPr fontId="11"/>
  </si>
  <si>
    <t>素材</t>
    <phoneticPr fontId="11"/>
  </si>
  <si>
    <t>ResourceId</t>
    <phoneticPr fontId="11"/>
  </si>
  <si>
    <t>キーデータ</t>
    <phoneticPr fontId="11"/>
  </si>
  <si>
    <t>Id</t>
    <phoneticPr fontId="11"/>
  </si>
  <si>
    <t>生成数</t>
    <rPh sb="0" eb="2">
      <t>セイセイ</t>
    </rPh>
    <rPh sb="2" eb="3">
      <t>スウ</t>
    </rPh>
    <phoneticPr fontId="11"/>
  </si>
  <si>
    <t>水処理ユニット</t>
    <rPh sb="0" eb="2">
      <t>ミズショリ</t>
    </rPh>
    <phoneticPr fontId="11"/>
  </si>
  <si>
    <t>発電ユニット</t>
    <rPh sb="0" eb="1">
      <t>ハツデン</t>
    </rPh>
    <phoneticPr fontId="11"/>
  </si>
  <si>
    <t>農業モジュール</t>
    <rPh sb="0" eb="1">
      <t>ノウギョウ</t>
    </rPh>
    <phoneticPr fontId="11"/>
  </si>
  <si>
    <t>居住モジュール</t>
    <rPh sb="0" eb="1">
      <t>イ</t>
    </rPh>
    <phoneticPr fontId="11"/>
  </si>
  <si>
    <t>リソースバッファ</t>
  </si>
  <si>
    <t>リソースバッファ</t>
    <phoneticPr fontId="11"/>
  </si>
  <si>
    <t>工場モジュール</t>
    <rPh sb="0" eb="1">
      <t>コウジョウ</t>
    </rPh>
    <phoneticPr fontId="11"/>
  </si>
  <si>
    <t>商業モジュール</t>
    <rPh sb="0" eb="1">
      <t>ショウギョウ</t>
    </rPh>
    <phoneticPr fontId="11"/>
  </si>
  <si>
    <t>Count:int</t>
    <phoneticPr fontId="11"/>
  </si>
  <si>
    <t>解放する章</t>
    <rPh sb="0" eb="2">
      <t>カイホウ</t>
    </rPh>
    <rPh sb="4" eb="5">
      <t>ショウ</t>
    </rPh>
    <phoneticPr fontId="11"/>
  </si>
  <si>
    <t>解放する節</t>
    <rPh sb="0" eb="2">
      <t>カイホウ</t>
    </rPh>
    <rPh sb="4" eb="5">
      <t>セツ</t>
    </rPh>
    <phoneticPr fontId="11"/>
  </si>
  <si>
    <t>レベル</t>
    <phoneticPr fontId="11"/>
  </si>
  <si>
    <t>Level:int</t>
    <phoneticPr fontId="11"/>
  </si>
  <si>
    <t>In_1</t>
    <phoneticPr fontId="11"/>
  </si>
  <si>
    <t>In_1n</t>
    <phoneticPr fontId="11"/>
  </si>
  <si>
    <t>In_2</t>
  </si>
  <si>
    <t>In_2n</t>
  </si>
  <si>
    <t>In_3</t>
  </si>
  <si>
    <t>In_3n</t>
  </si>
  <si>
    <t>In_4</t>
  </si>
  <si>
    <t>In_4n</t>
  </si>
  <si>
    <t>Out_1</t>
    <phoneticPr fontId="11"/>
  </si>
  <si>
    <t>Out_1n</t>
    <phoneticPr fontId="11"/>
  </si>
  <si>
    <t>InputValues:int[]</t>
    <phoneticPr fontId="11"/>
  </si>
  <si>
    <t>OutputValues:int[]</t>
    <phoneticPr fontId="11"/>
  </si>
  <si>
    <t>労働力</t>
    <rPh sb="0" eb="2">
      <t>ロウドウ</t>
    </rPh>
    <rPh sb="2" eb="3">
      <t>リョク</t>
    </rPh>
    <phoneticPr fontId="11"/>
  </si>
  <si>
    <t>商品</t>
    <rPh sb="0" eb="1">
      <t>ショウヒン</t>
    </rPh>
    <phoneticPr fontId="11"/>
  </si>
  <si>
    <t>安全</t>
    <rPh sb="0" eb="1">
      <t>アンゼン</t>
    </rPh>
    <phoneticPr fontId="11"/>
  </si>
  <si>
    <t>Cost:int</t>
    <phoneticPr fontId="11"/>
  </si>
  <si>
    <t>ノードコスト</t>
  </si>
  <si>
    <t>ノードIO</t>
  </si>
  <si>
    <t>node_cost_data</t>
    <phoneticPr fontId="11"/>
  </si>
  <si>
    <t>node_io_data</t>
    <phoneticPr fontId="11"/>
  </si>
  <si>
    <t>Section:int</t>
    <phoneticPr fontId="11"/>
  </si>
  <si>
    <t>節</t>
    <rPh sb="0" eb="1">
      <t>セツ</t>
    </rPh>
    <phoneticPr fontId="11"/>
  </si>
  <si>
    <t>DemoId:int</t>
    <phoneticPr fontId="11"/>
  </si>
  <si>
    <t>DemoID</t>
    <phoneticPr fontId="11"/>
  </si>
  <si>
    <t>エッジのつなぎ方、依頼の完了方法を学ぶ。</t>
    <phoneticPr fontId="11"/>
  </si>
  <si>
    <t>レベルアップ、出力されたものを使うことで資源が循環すること学ぶ。</t>
    <phoneticPr fontId="11"/>
  </si>
  <si>
    <t>資金を使って工場ノードを作ることを覚える。</t>
    <phoneticPr fontId="11"/>
  </si>
  <si>
    <t>金銭の入手方法を学ぶ。</t>
    <phoneticPr fontId="11"/>
  </si>
  <si>
    <t>Section:int</t>
    <phoneticPr fontId="11"/>
  </si>
  <si>
    <t>節</t>
    <rPh sb="0" eb="1">
      <t>セツ</t>
    </rPh>
    <phoneticPr fontId="11"/>
  </si>
  <si>
    <t>Chapter,Section</t>
    <phoneticPr fontId="11"/>
  </si>
  <si>
    <t>依頼種別</t>
    <rPh sb="0" eb="4">
      <t>イライシュベツ</t>
    </rPh>
    <phoneticPr fontId="11"/>
  </si>
  <si>
    <t>Type:int</t>
    <phoneticPr fontId="11"/>
  </si>
  <si>
    <t>新聞「ついに争いが終結。提言を受け入れ国は調律者を仮導入。早期復旧なるか！？」</t>
    <rPh sb="0" eb="2">
      <t>シンブン</t>
    </rPh>
    <rPh sb="6" eb="7">
      <t>アラソ</t>
    </rPh>
    <rPh sb="9" eb="11">
      <t>シュウケツ</t>
    </rPh>
    <rPh sb="12" eb="14">
      <t>テイゲン</t>
    </rPh>
    <rPh sb="15" eb="16">
      <t>ウ</t>
    </rPh>
    <rPh sb="17" eb="18">
      <t>イ</t>
    </rPh>
    <rPh sb="19" eb="20">
      <t>クニ</t>
    </rPh>
    <rPh sb="21" eb="23">
      <t>チョウリツ</t>
    </rPh>
    <rPh sb="23" eb="24">
      <t>シャ</t>
    </rPh>
    <rPh sb="25" eb="26">
      <t>カリ</t>
    </rPh>
    <rPh sb="26" eb="28">
      <t>ドウニュウ</t>
    </rPh>
    <rPh sb="29" eb="33">
      <t>ソウキフッキュウ</t>
    </rPh>
    <phoneticPr fontId="11"/>
  </si>
  <si>
    <t>Num:int</t>
    <phoneticPr fontId="11"/>
  </si>
  <si>
    <t>依頼者の顔ID</t>
    <rPh sb="0" eb="3">
      <t>イライシャ</t>
    </rPh>
    <rPh sb="4" eb="5">
      <t>カオ</t>
    </rPh>
    <phoneticPr fontId="11"/>
  </si>
  <si>
    <t>選択</t>
    <rPh sb="0" eb="1">
      <t>センタク</t>
    </rPh>
    <phoneticPr fontId="11"/>
  </si>
  <si>
    <t>ノードの数を増やす</t>
    <rPh sb="3" eb="4">
      <t>カズ</t>
    </rPh>
    <rPh sb="5" eb="6">
      <t>フ</t>
    </rPh>
    <phoneticPr fontId="11"/>
  </si>
  <si>
    <t>ノードの数を減らす</t>
    <rPh sb="3" eb="4">
      <t>カズ</t>
    </rPh>
    <rPh sb="5" eb="6">
      <t>フ</t>
    </rPh>
    <rPh sb="6" eb="7">
      <t>ヘ</t>
    </rPh>
    <phoneticPr fontId="11"/>
  </si>
  <si>
    <t>{0}ノードを{1}以下にする。</t>
    <rPh sb="10" eb="12">
      <t>イカ</t>
    </rPh>
    <phoneticPr fontId="11"/>
  </si>
  <si>
    <t>{0}ノードを{1}以上にする。</t>
    <rPh sb="9" eb="11">
      <t>イジョウ</t>
    </rPh>
    <rPh sb="12" eb="13">
      <t>フ</t>
    </rPh>
    <phoneticPr fontId="11"/>
  </si>
  <si>
    <t>Lv.{2}以上の{0}ノードを{1}以上にする。</t>
    <rPh sb="6" eb="8">
      <t>イジョウ</t>
    </rPh>
    <rPh sb="19" eb="21">
      <t>イジョウ</t>
    </rPh>
    <phoneticPr fontId="11"/>
  </si>
  <si>
    <t>すべての{0}ノードのLvを{2}以下にする。</t>
    <rPh sb="17" eb="19">
      <t>イカ</t>
    </rPh>
    <phoneticPr fontId="11"/>
  </si>
  <si>
    <t>全ノードのレベル下げる</t>
    <rPh sb="0" eb="1">
      <t>ゼン</t>
    </rPh>
    <rPh sb="7" eb="8">
      <t>ア</t>
    </rPh>
    <rPh sb="8" eb="9">
      <t>シタ</t>
    </rPh>
    <phoneticPr fontId="11"/>
  </si>
  <si>
    <t>全ノードのレベル上げる</t>
    <rPh sb="0" eb="1">
      <t>ゼン</t>
    </rPh>
    <rPh sb="7" eb="8">
      <t>ア</t>
    </rPh>
    <rPh sb="8" eb="9">
      <t>ウエ</t>
    </rPh>
    <phoneticPr fontId="11"/>
  </si>
  <si>
    <t>この要求を受け入れますか？</t>
    <rPh sb="1" eb="3">
      <t>ヨウキュウ</t>
    </rPh>
    <rPh sb="4" eb="5">
      <t>ウ</t>
    </rPh>
    <rPh sb="6" eb="7">
      <t>イ</t>
    </rPh>
    <phoneticPr fontId="11"/>
  </si>
  <si>
    <t>ノードの合計の数を下げる</t>
    <rPh sb="4" eb="6">
      <t>ゴウケイ</t>
    </rPh>
    <rPh sb="7" eb="8">
      <t>カズ</t>
    </rPh>
    <rPh sb="9" eb="10">
      <t>シタ</t>
    </rPh>
    <phoneticPr fontId="11"/>
  </si>
  <si>
    <t>ノードの合計の数を上げる</t>
    <rPh sb="4" eb="6">
      <t>ゴウケイ</t>
    </rPh>
    <rPh sb="7" eb="8">
      <t>カズ</t>
    </rPh>
    <rPh sb="9" eb="10">
      <t>ア</t>
    </rPh>
    <phoneticPr fontId="11"/>
  </si>
  <si>
    <t>{0}ノードの合計を{1}以下にする。</t>
    <rPh sb="7" eb="9">
      <t>ゴウケイ</t>
    </rPh>
    <rPh sb="13" eb="15">
      <t>イカ</t>
    </rPh>
    <phoneticPr fontId="11"/>
  </si>
  <si>
    <t>{0}ノードの合計を{1}以上にする。</t>
    <rPh sb="7" eb="9">
      <t>ゴウケイ</t>
    </rPh>
    <rPh sb="13" eb="15">
      <t>イジョウ</t>
    </rPh>
    <phoneticPr fontId="11"/>
  </si>
  <si>
    <t>依頼種別</t>
    <rPh sb="0" eb="4">
      <t>イライシュベツ</t>
    </rPh>
    <phoneticPr fontId="11"/>
  </si>
  <si>
    <t>なし</t>
  </si>
  <si>
    <t>依頼種別</t>
    <rPh sb="0" eb="2">
      <t>イライ</t>
    </rPh>
    <rPh sb="2" eb="4">
      <t>シュベツ</t>
    </rPh>
    <phoneticPr fontId="11"/>
  </si>
  <si>
    <t>request_type_data</t>
    <phoneticPr fontId="11"/>
  </si>
  <si>
    <t>出力を上げる</t>
    <rPh sb="0" eb="1">
      <t>シュツリョク</t>
    </rPh>
    <rPh sb="2" eb="3">
      <t>ア</t>
    </rPh>
    <phoneticPr fontId="11"/>
  </si>
  <si>
    <t>{0}ノードの出力を{1}以上にする。</t>
    <rPh sb="6" eb="8">
      <t>シュツリョク</t>
    </rPh>
    <rPh sb="12" eb="14">
      <t>イジョウ</t>
    </rPh>
    <phoneticPr fontId="11"/>
  </si>
  <si>
    <t>さらなる食料生産</t>
    <rPh sb="3" eb="7">
      <t>ショクリョウセイサン</t>
    </rPh>
    <phoneticPr fontId="11"/>
  </si>
  <si>
    <t>資金の使い方</t>
    <rPh sb="0" eb="1">
      <t>シキン</t>
    </rPh>
    <rPh sb="2" eb="3">
      <t>ツカ</t>
    </rPh>
    <rPh sb="4" eb="5">
      <t>カタ</t>
    </rPh>
    <phoneticPr fontId="11"/>
  </si>
  <si>
    <t>働く場所が欲しい</t>
    <rPh sb="0" eb="2">
      <t>バショ</t>
    </rPh>
    <rPh sb="3" eb="4">
      <t>ホ</t>
    </rPh>
    <phoneticPr fontId="11"/>
  </si>
  <si>
    <t>整備が必要</t>
    <rPh sb="0" eb="1">
      <t>セイビ</t>
    </rPh>
    <rPh sb="2" eb="4">
      <t>ヒツヨウ</t>
    </rPh>
    <phoneticPr fontId="11"/>
  </si>
  <si>
    <t>買い物がしたい</t>
    <rPh sb="1" eb="2">
      <t>モノ</t>
    </rPh>
    <phoneticPr fontId="11"/>
  </si>
  <si>
    <t>買い物できる場所を作って</t>
    <rPh sb="1" eb="2">
      <t>モノ</t>
    </rPh>
    <rPh sb="5" eb="7">
      <t>バショ</t>
    </rPh>
    <rPh sb="8" eb="9">
      <t>ツク</t>
    </rPh>
    <phoneticPr fontId="11"/>
  </si>
  <si>
    <t>治安維持組織</t>
    <rPh sb="0" eb="2">
      <t>チアン</t>
    </rPh>
    <rPh sb="2" eb="4">
      <t>イジ</t>
    </rPh>
    <rPh sb="4" eb="6">
      <t>ソシキ</t>
    </rPh>
    <phoneticPr fontId="11"/>
  </si>
  <si>
    <t>治安維持ユニット</t>
    <rPh sb="0" eb="2">
      <t>チアン</t>
    </rPh>
    <rPh sb="2" eb="4">
      <t>イジ</t>
    </rPh>
    <phoneticPr fontId="11"/>
  </si>
  <si>
    <t>生活が安定してして人が増えてきたせいか、治安について心配する声がある。</t>
    <rPh sb="0" eb="1">
      <t>セイカツ</t>
    </rPh>
    <rPh sb="2" eb="4">
      <t>アンテイ</t>
    </rPh>
    <rPh sb="9" eb="10">
      <t>ヒト</t>
    </rPh>
    <rPh sb="11" eb="12">
      <t>フ</t>
    </rPh>
    <rPh sb="20" eb="22">
      <t>チアン</t>
    </rPh>
    <rPh sb="26" eb="28">
      <t>シンパイ</t>
    </rPh>
    <rPh sb="30" eb="31">
      <t>コエ</t>
    </rPh>
    <phoneticPr fontId="11"/>
  </si>
  <si>
    <t>区の方針決め（次の章の伏線）</t>
    <rPh sb="1" eb="4">
      <t>ホウシンギ</t>
    </rPh>
    <rPh sb="6" eb="7">
      <t>ツギ</t>
    </rPh>
    <rPh sb="8" eb="9">
      <t>ショウ</t>
    </rPh>
    <rPh sb="10" eb="12">
      <t>フクセン</t>
    </rPh>
    <phoneticPr fontId="11"/>
  </si>
  <si>
    <t>さらなる発展。町を大きくする。</t>
    <rPh sb="3" eb="5">
      <t>ハッテン</t>
    </rPh>
    <rPh sb="6" eb="7">
      <t>マチ</t>
    </rPh>
    <rPh sb="8" eb="9">
      <t>オオ</t>
    </rPh>
    <phoneticPr fontId="11"/>
  </si>
  <si>
    <t>農業特化</t>
    <rPh sb="0" eb="1">
      <t>ノウギョウ</t>
    </rPh>
    <rPh sb="1" eb="3">
      <t>トッカ</t>
    </rPh>
    <phoneticPr fontId="11"/>
  </si>
  <si>
    <t>工業特化</t>
    <rPh sb="0" eb="3">
      <t>コウギョウトッカ</t>
    </rPh>
    <phoneticPr fontId="11"/>
  </si>
  <si>
    <t>商業特価</t>
    <rPh sb="0" eb="3">
      <t>ショウギョウトッカ</t>
    </rPh>
    <phoneticPr fontId="11"/>
  </si>
  <si>
    <t>この区を農業特化しましょう。</t>
    <rPh sb="1" eb="2">
      <t>ク</t>
    </rPh>
    <rPh sb="2" eb="3">
      <t>ク</t>
    </rPh>
    <rPh sb="3" eb="7">
      <t>ノウギョウトッカ</t>
    </rPh>
    <phoneticPr fontId="11"/>
  </si>
  <si>
    <t>この区を工業特化しましょう。</t>
    <rPh sb="1" eb="2">
      <t>ク</t>
    </rPh>
    <rPh sb="3" eb="7">
      <t>コウギョウトッカ</t>
    </rPh>
    <phoneticPr fontId="11"/>
  </si>
  <si>
    <t>この区を商業特化しましょう。</t>
    <rPh sb="1" eb="2">
      <t>ク</t>
    </rPh>
    <rPh sb="3" eb="7">
      <t>ショウギョウトッカ</t>
    </rPh>
    <phoneticPr fontId="11"/>
  </si>
  <si>
    <t>さらなる発展を</t>
    <rPh sb="3" eb="5">
      <t>ハッテン</t>
    </rPh>
    <phoneticPr fontId="11"/>
  </si>
  <si>
    <t>区の資金出力を上げる</t>
    <rPh sb="1" eb="5">
      <t>シキンシュツリョク</t>
    </rPh>
    <rPh sb="6" eb="7">
      <t>ア</t>
    </rPh>
    <phoneticPr fontId="11"/>
  </si>
  <si>
    <t>収入を増やす</t>
    <rPh sb="0" eb="1">
      <t>シュウニュウ</t>
    </rPh>
    <rPh sb="2" eb="3">
      <t>フ</t>
    </rPh>
    <phoneticPr fontId="11"/>
  </si>
  <si>
    <t>資金の調達量を{1}/s以上にする。</t>
    <rPh sb="0" eb="1">
      <t>シキン</t>
    </rPh>
    <rPh sb="2" eb="5">
      <t>チョウタツリョウ</t>
    </rPh>
    <rPh sb="11" eb="13">
      <t>イジョウ</t>
    </rPh>
    <phoneticPr fontId="11"/>
  </si>
  <si>
    <t>UnlockChapter:int</t>
    <phoneticPr fontId="11"/>
  </si>
  <si>
    <t>UnlockSection:int</t>
    <phoneticPr fontId="11"/>
  </si>
  <si>
    <t>小学生（男）</t>
    <rPh sb="0" eb="2">
      <t>ショウガクセイ</t>
    </rPh>
    <rPh sb="3" eb="4">
      <t>オトコ</t>
    </rPh>
    <phoneticPr fontId="11"/>
  </si>
  <si>
    <t>小学生（女）</t>
    <rPh sb="0" eb="2">
      <t>ショウガクセイ</t>
    </rPh>
    <rPh sb="3" eb="4">
      <t>オンナ</t>
    </rPh>
    <phoneticPr fontId="11"/>
  </si>
  <si>
    <t>学生（男）</t>
    <rPh sb="0" eb="1">
      <t>ガクセイ</t>
    </rPh>
    <rPh sb="2" eb="3">
      <t>オトコ</t>
    </rPh>
    <phoneticPr fontId="11"/>
  </si>
  <si>
    <t>学生（女）</t>
    <rPh sb="0" eb="1">
      <t>ガクセイ</t>
    </rPh>
    <rPh sb="2" eb="3">
      <t>オンナ</t>
    </rPh>
    <phoneticPr fontId="11"/>
  </si>
  <si>
    <t>青年（男）</t>
    <rPh sb="0" eb="1">
      <t>セイネン</t>
    </rPh>
    <rPh sb="2" eb="3">
      <t>オトコ</t>
    </rPh>
    <phoneticPr fontId="11"/>
  </si>
  <si>
    <t>青年（女）</t>
    <rPh sb="0" eb="1">
      <t>セイネン</t>
    </rPh>
    <rPh sb="2" eb="3">
      <t>オンナ</t>
    </rPh>
    <phoneticPr fontId="11"/>
  </si>
  <si>
    <t>中年（男）</t>
    <rPh sb="0" eb="1">
      <t>チュウネン</t>
    </rPh>
    <rPh sb="2" eb="3">
      <t>オトコ</t>
    </rPh>
    <phoneticPr fontId="11"/>
  </si>
  <si>
    <t>中年（女）</t>
    <rPh sb="0" eb="1">
      <t>チュウネン</t>
    </rPh>
    <rPh sb="2" eb="3">
      <t>オンナ</t>
    </rPh>
    <phoneticPr fontId="11"/>
  </si>
  <si>
    <t>老人（男）</t>
    <rPh sb="0" eb="2">
      <t>ロウジン</t>
    </rPh>
    <rPh sb="2" eb="3">
      <t>オトコ</t>
    </rPh>
    <phoneticPr fontId="11"/>
  </si>
  <si>
    <t>老人（女）</t>
    <rPh sb="0" eb="2">
      <t>ロウジン</t>
    </rPh>
    <rPh sb="2" eb="3">
      <t>オンナ</t>
    </rPh>
    <phoneticPr fontId="11"/>
  </si>
  <si>
    <t>農業の人</t>
    <rPh sb="0" eb="1">
      <t>ノウギョウ</t>
    </rPh>
    <rPh sb="3" eb="4">
      <t>ヒト</t>
    </rPh>
    <phoneticPr fontId="11"/>
  </si>
  <si>
    <t>工場の人</t>
    <rPh sb="0" eb="1">
      <t>コウジョウ</t>
    </rPh>
    <rPh sb="3" eb="4">
      <t>ヒト</t>
    </rPh>
    <phoneticPr fontId="11"/>
  </si>
  <si>
    <t>商業の人</t>
    <rPh sb="0" eb="1">
      <t>ショウギョウ</t>
    </rPh>
    <rPh sb="3" eb="4">
      <t>ヒト</t>
    </rPh>
    <phoneticPr fontId="11"/>
  </si>
  <si>
    <t>偉そうな人</t>
    <rPh sb="3" eb="4">
      <t>ヒト</t>
    </rPh>
    <phoneticPr fontId="11"/>
  </si>
  <si>
    <t>依頼主</t>
    <rPh sb="0" eb="3">
      <t>イライヌシ</t>
    </rPh>
    <phoneticPr fontId="11"/>
  </si>
  <si>
    <t>request_client_data</t>
    <phoneticPr fontId="11"/>
  </si>
  <si>
    <t>依頼者の顔</t>
    <rPh sb="0" eb="3">
      <t>イライシャ</t>
    </rPh>
    <rPh sb="4" eb="5">
      <t>カオ</t>
    </rPh>
    <phoneticPr fontId="11"/>
  </si>
  <si>
    <t>AI</t>
  </si>
  <si>
    <t>AI</t>
    <phoneticPr fontId="11"/>
  </si>
  <si>
    <t>ありがとう。おかげで農業の生産が安定した。だが、こんな農場１つ雑魚の区の食事は賄えない。どうか、もっと農場を増やしてもらえないだろうか。</t>
    <rPh sb="10" eb="12">
      <t>ノウギョウ</t>
    </rPh>
    <rPh sb="13" eb="15">
      <t>セイサン</t>
    </rPh>
    <rPh sb="16" eb="18">
      <t>アンテイ</t>
    </rPh>
    <rPh sb="27" eb="29">
      <t>ノウジョウ</t>
    </rPh>
    <rPh sb="51" eb="53">
      <t>ノウジョウ</t>
    </rPh>
    <rPh sb="54" eb="55">
      <t>フ</t>
    </rPh>
    <phoneticPr fontId="11"/>
  </si>
  <si>
    <t>なかなか上手くいっているようですね。上からの希望もあり、あなたに資金使用の権限が付与されました。まずは資金を使って水や電気の出力を上げてみてはいかがでしょう。</t>
    <rPh sb="3" eb="5">
      <t>ウマ</t>
    </rPh>
    <rPh sb="18" eb="19">
      <t>ウエ</t>
    </rPh>
    <rPh sb="22" eb="24">
      <t>キボウ</t>
    </rPh>
    <rPh sb="32" eb="34">
      <t>シキン</t>
    </rPh>
    <rPh sb="34" eb="36">
      <t>シヨウ</t>
    </rPh>
    <rPh sb="37" eb="39">
      <t>ケンゲン</t>
    </rPh>
    <rPh sb="40" eb="42">
      <t>フヨ</t>
    </rPh>
    <rPh sb="51" eb="53">
      <t>シキン</t>
    </rPh>
    <rPh sb="54" eb="55">
      <t>ツカ</t>
    </rPh>
    <rPh sb="57" eb="58">
      <t>ミズ</t>
    </rPh>
    <rPh sb="59" eb="61">
      <t>デンキ</t>
    </rPh>
    <rPh sb="62" eb="64">
      <t>シュツリョク</t>
    </rPh>
    <rPh sb="65" eb="66">
      <t>ア</t>
    </rPh>
    <phoneticPr fontId="11"/>
  </si>
  <si>
    <t>暮らしは苦しいが、みんな生きる活力に満ち溢れている。調律者さんがうまくやってくれているおかげだ。俺は手先が器用だからいろいろな道具が作れると思うんだ。どうか工場を作ってもらえないか。</t>
    <rPh sb="3" eb="4">
      <t>クル</t>
    </rPh>
    <rPh sb="11" eb="12">
      <t>イ</t>
    </rPh>
    <rPh sb="14" eb="16">
      <t>カツリョク</t>
    </rPh>
    <rPh sb="17" eb="18">
      <t>ミ</t>
    </rPh>
    <rPh sb="19" eb="20">
      <t>アフ</t>
    </rPh>
    <rPh sb="26" eb="28">
      <t>チョウリツ</t>
    </rPh>
    <rPh sb="28" eb="29">
      <t>シャ</t>
    </rPh>
    <rPh sb="50" eb="52">
      <t>テサキ</t>
    </rPh>
    <rPh sb="53" eb="55">
      <t>キヨウ</t>
    </rPh>
    <rPh sb="63" eb="65">
      <t>ドウグ</t>
    </rPh>
    <rPh sb="66" eb="67">
      <t>ツク</t>
    </rPh>
    <rPh sb="70" eb="71">
      <t>オモ</t>
    </rPh>
    <rPh sb="78" eb="80">
      <t>コウジョウ</t>
    </rPh>
    <rPh sb="81" eb="82">
      <t>ツク</t>
    </rPh>
    <phoneticPr fontId="11"/>
  </si>
  <si>
    <t>ごまかしごまかしやってきたが、そろそろ難しくなってきた。どうにかして設備をメンテナンスできる道具を調達できないだろうか。</t>
    <rPh sb="18" eb="19">
      <t>ムズカ</t>
    </rPh>
    <rPh sb="33" eb="35">
      <t>セツビ</t>
    </rPh>
    <rPh sb="45" eb="47">
      <t>ドウグ</t>
    </rPh>
    <rPh sb="48" eb="50">
      <t>チョウタツ</t>
    </rPh>
    <phoneticPr fontId="11"/>
  </si>
  <si>
    <t>資金の存在と、資金を使って水と電気を出力を増やす方法を学ぶ。リソースバッファで分配を学ぶ。</t>
    <phoneticPr fontId="11"/>
  </si>
  <si>
    <t>-</t>
    <phoneticPr fontId="11"/>
  </si>
  <si>
    <t>ConflictIds:int</t>
    <phoneticPr fontId="11"/>
  </si>
  <si>
    <t>どれか1つの{0}のレベルが{1}上がる。</t>
    <rPh sb="17" eb="18">
      <t>ア</t>
    </rPh>
    <phoneticPr fontId="11"/>
  </si>
  <si>
    <t>{0}のレベル上限が{1}上がる。</t>
    <rPh sb="6" eb="8">
      <t>ジョウゲン</t>
    </rPh>
    <rPh sb="12" eb="13">
      <t>ア</t>
    </rPh>
    <phoneticPr fontId="11"/>
  </si>
  <si>
    <t>種類</t>
    <rPh sb="0" eb="2">
      <t>シュルイ</t>
    </rPh>
    <phoneticPr fontId="11"/>
  </si>
  <si>
    <t>種類</t>
    <rPh sb="0" eb="2">
      <t>シュルイ</t>
    </rPh>
    <phoneticPr fontId="11"/>
  </si>
  <si>
    <t>複数ノードのレベル上げる</t>
    <rPh sb="0" eb="2">
      <t>フクスウ</t>
    </rPh>
    <rPh sb="8" eb="9">
      <t>ア</t>
    </rPh>
    <phoneticPr fontId="11"/>
  </si>
  <si>
    <t>-</t>
  </si>
  <si>
    <t>{0}が追加で{2}を{1}つ出力するようになる。</t>
    <rPh sb="3" eb="5">
      <t>ツイカ</t>
    </rPh>
    <rPh sb="15" eb="17">
      <t>シュツリョク</t>
    </rPh>
    <phoneticPr fontId="11"/>
  </si>
  <si>
    <t>{0}の入力に{2}が{1}つ追加で必要になる。</t>
    <rPh sb="3" eb="5">
      <t>ニュウリョク</t>
    </rPh>
    <rPh sb="15" eb="17">
      <t>ツイカ</t>
    </rPh>
    <rPh sb="18" eb="20">
      <t>ヒツヨウ</t>
    </rPh>
    <phoneticPr fontId="11"/>
  </si>
  <si>
    <t>{0}の入力コストが永久に+{1}％</t>
    <rPh sb="4" eb="6">
      <t>ニュウリョク</t>
    </rPh>
    <rPh sb="9" eb="11">
      <t>エイキュウ</t>
    </rPh>
    <phoneticPr fontId="11"/>
  </si>
  <si>
    <t>{0}の出力が永久に+{1}％</t>
    <rPh sb="3" eb="5">
      <t>シュツリョク</t>
    </rPh>
    <rPh sb="5" eb="7">
      <t>エイキュウ</t>
    </rPh>
    <phoneticPr fontId="11"/>
  </si>
  <si>
    <t>水をつないで食料を生産する</t>
    <rPh sb="5" eb="7">
      <t>ショクリョウ</t>
    </rPh>
    <rPh sb="8" eb="10">
      <t>セイサン</t>
    </rPh>
    <phoneticPr fontId="11"/>
  </si>
  <si>
    <t>農１</t>
    <phoneticPr fontId="11"/>
  </si>
  <si>
    <t>家１</t>
    <phoneticPr fontId="11"/>
  </si>
  <si>
    <t>水、電気、食料をつなぎ労働力を生産する</t>
    <rPh sb="1" eb="3">
      <t>デンキ</t>
    </rPh>
    <rPh sb="4" eb="6">
      <t>ショクリョウ</t>
    </rPh>
    <rPh sb="10" eb="13">
      <t>ロウドウリョク</t>
    </rPh>
    <rPh sb="14" eb="16">
      <t>セイサン</t>
    </rPh>
    <phoneticPr fontId="11"/>
  </si>
  <si>
    <t>瓦礫</t>
    <rPh sb="0" eb="1">
      <t>ガレキ</t>
    </rPh>
    <phoneticPr fontId="11"/>
  </si>
  <si>
    <t>瓦礫の除去</t>
    <rPh sb="0" eb="1">
      <t>ガレキ</t>
    </rPh>
    <rPh sb="2" eb="4">
      <t>ジョキョ</t>
    </rPh>
    <phoneticPr fontId="11"/>
  </si>
  <si>
    <t>瓦礫除去</t>
    <rPh sb="0" eb="1">
      <t>ガレキ</t>
    </rPh>
    <rPh sb="1" eb="3">
      <t>ジョキョ</t>
    </rPh>
    <phoneticPr fontId="11"/>
  </si>
  <si>
    <t>家２</t>
    <phoneticPr fontId="11"/>
  </si>
  <si>
    <t>瓦礫の除去でお金をもらう</t>
    <rPh sb="0" eb="1">
      <t>ガレキ</t>
    </rPh>
    <rPh sb="2" eb="4">
      <t>ジョキョ</t>
    </rPh>
    <rPh sb="6" eb="7">
      <t>カネ</t>
    </rPh>
    <phoneticPr fontId="11"/>
  </si>
  <si>
    <t>４件解放されるので全ての家のに水と電気と食料をつなぐ</t>
    <rPh sb="1" eb="4">
      <t>ケンカイホウ</t>
    </rPh>
    <rPh sb="11" eb="12">
      <t>イエ</t>
    </rPh>
    <rPh sb="15" eb="22">
      <t>ミズトデンキトショクリョウ</t>
    </rPh>
    <phoneticPr fontId="11"/>
  </si>
  <si>
    <t>農家２</t>
    <rPh sb="0" eb="1">
      <t>ノウカ</t>
    </rPh>
    <phoneticPr fontId="11"/>
  </si>
  <si>
    <t>農家のレベルを上げる</t>
    <rPh sb="0" eb="1">
      <t>ノウカ</t>
    </rPh>
    <rPh sb="6" eb="7">
      <t>ア</t>
    </rPh>
    <phoneticPr fontId="11"/>
  </si>
  <si>
    <t>売り物か</t>
    <rPh sb="0" eb="1">
      <t>ウ</t>
    </rPh>
    <rPh sb="2" eb="3">
      <t>モノ</t>
    </rPh>
    <phoneticPr fontId="11"/>
  </si>
  <si>
    <t>Salable:bool</t>
    <phoneticPr fontId="11"/>
  </si>
  <si>
    <t>食品加工モジュール</t>
    <rPh sb="0" eb="3">
      <t>ショクヒンカコウ</t>
    </rPh>
    <phoneticPr fontId="11"/>
  </si>
  <si>
    <t>居住モジュール開放</t>
    <rPh sb="0" eb="2">
      <t>キョジュウ</t>
    </rPh>
    <rPh sb="7" eb="9">
      <t>カイホウ</t>
    </rPh>
    <phoneticPr fontId="11"/>
  </si>
  <si>
    <t>工業モジュール開放</t>
    <rPh sb="0" eb="1">
      <t>コウギョウ</t>
    </rPh>
    <rPh sb="6" eb="8">
      <t>カイホウ</t>
    </rPh>
    <phoneticPr fontId="11"/>
  </si>
  <si>
    <t>商業モジュール開放</t>
    <rPh sb="0" eb="1">
      <t>ショウギョウ</t>
    </rPh>
    <rPh sb="6" eb="8">
      <t>カイホウ</t>
    </rPh>
    <phoneticPr fontId="11"/>
  </si>
  <si>
    <t>-</t>
    <phoneticPr fontId="11"/>
  </si>
  <si>
    <t>食品加工モジュール開放</t>
    <rPh sb="0" eb="3">
      <t>ショクヒンカコウ</t>
    </rPh>
    <rPh sb="8" eb="10">
      <t>カイホウ</t>
    </rPh>
    <phoneticPr fontId="11"/>
  </si>
  <si>
    <t>農業モジュール開放</t>
    <rPh sb="0" eb="1">
      <t>ノウギョウ</t>
    </rPh>
    <rPh sb="6" eb="8">
      <t>カイホウ</t>
    </rPh>
    <phoneticPr fontId="11"/>
  </si>
  <si>
    <t>バフ、デバフ種別</t>
    <phoneticPr fontId="11"/>
  </si>
  <si>
    <t>effect_type_data</t>
    <phoneticPr fontId="11"/>
  </si>
  <si>
    <t>出力にかかる時間(ms）</t>
    <rPh sb="0" eb="2">
      <t>シュツリョク</t>
    </rPh>
    <rPh sb="6" eb="8">
      <t>ジカン</t>
    </rPh>
    <phoneticPr fontId="11"/>
  </si>
  <si>
    <t>{1}回の出力でノードが除去される</t>
    <rPh sb="3" eb="4">
      <t>カイ</t>
    </rPh>
    <rPh sb="5" eb="7">
      <t>シュツリョク</t>
    </rPh>
    <rPh sb="12" eb="14">
      <t>ジョキョ</t>
    </rPh>
    <phoneticPr fontId="11"/>
  </si>
  <si>
    <t>OutputSec:int</t>
    <phoneticPr fontId="11"/>
  </si>
  <si>
    <t>NodeId</t>
    <phoneticPr fontId="11"/>
  </si>
  <si>
    <t>B</t>
    <phoneticPr fontId="11"/>
  </si>
  <si>
    <t>A</t>
    <phoneticPr fontId="11"/>
  </si>
  <si>
    <t>ViewType:int</t>
    <phoneticPr fontId="11"/>
  </si>
  <si>
    <t>付加時のタイプ（1:Input 2:Output 3:TextOnly 100:Eternal）</t>
    <phoneticPr fontId="11"/>
  </si>
  <si>
    <t>Duration:int</t>
    <phoneticPr fontId="11"/>
  </si>
  <si>
    <t>-</t>
    <phoneticPr fontId="11"/>
  </si>
  <si>
    <t>[PrimaryKey]Id</t>
    <phoneticPr fontId="11"/>
  </si>
  <si>
    <t>[PrimaryKey]Chapter,Section</t>
    <phoneticPr fontId="11"/>
  </si>
  <si>
    <t>説明 {0}:ノード {1}:数 {2}:素材</t>
    <rPh sb="0" eb="2">
      <t>セツメイ</t>
    </rPh>
    <rPh sb="15" eb="16">
      <t>カズ</t>
    </rPh>
    <rPh sb="21" eb="23">
      <t>ソザイ</t>
    </rPh>
    <phoneticPr fontId="11"/>
  </si>
  <si>
    <t>{0}を作成できるようになります。</t>
    <rPh sb="4" eb="6">
      <t>サクセイ</t>
    </rPh>
    <phoneticPr fontId="11"/>
  </si>
  <si>
    <t>0.2.0</t>
    <phoneticPr fontId="12"/>
  </si>
  <si>
    <t>0.3.4</t>
    <phoneticPr fontId="12"/>
  </si>
  <si>
    <t>バフ、デバフ</t>
    <phoneticPr fontId="11"/>
  </si>
  <si>
    <t>EffectId</t>
    <phoneticPr fontId="11"/>
  </si>
  <si>
    <t>TypeId:int</t>
    <phoneticPr fontId="11"/>
  </si>
  <si>
    <t>[PrimaryKey]TypeId</t>
    <phoneticPr fontId="11"/>
  </si>
  <si>
    <t>Evaluation:int</t>
    <phoneticPr fontId="11"/>
  </si>
  <si>
    <t>評価パターン</t>
    <rPh sb="0" eb="2">
      <t>ヒョウカ</t>
    </rPh>
    <phoneticPr fontId="11"/>
  </si>
  <si>
    <t>テスト</t>
    <phoneticPr fontId="11"/>
  </si>
  <si>
    <t>効果時間{3}</t>
    <rPh sb="0" eb="2">
      <t>コウカ</t>
    </rPh>
    <rPh sb="2" eb="4">
      <t>ジカン</t>
    </rPh>
    <phoneticPr fontId="11"/>
  </si>
  <si>
    <t>対象ノード{0}</t>
    <rPh sb="0" eb="2">
      <t>タイショウ</t>
    </rPh>
    <phoneticPr fontId="11"/>
  </si>
  <si>
    <t>対象素材{2}</t>
    <rPh sb="0" eb="2">
      <t>タイショウ</t>
    </rPh>
    <rPh sb="2" eb="4">
      <t>ソザイ</t>
    </rPh>
    <phoneticPr fontId="11"/>
  </si>
  <si>
    <t>効果値{1}</t>
    <rPh sb="0" eb="3">
      <t>コウカチ</t>
    </rPh>
    <phoneticPr fontId="11"/>
  </si>
  <si>
    <t>テスト2</t>
    <phoneticPr fontId="11"/>
  </si>
  <si>
    <t>レベル{2}</t>
    <phoneticPr fontId="11"/>
  </si>
  <si>
    <t>数{1}</t>
    <rPh sb="0" eb="1">
      <t>スウ</t>
    </rPh>
    <phoneticPr fontId="11"/>
  </si>
  <si>
    <t>FaceID:int</t>
    <phoneticPr fontId="1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</si>
</sst>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6"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9"/>
      <color theme="1"/>
      <name val="ＭＳ ゴシック"/>
      <family val="2"/>
      <charset val="128"/>
    </font>
    <font>
      <sz val="11"/>
      <color theme="1"/>
      <name val="ＭＳ Ｐゴシック"/>
      <family val="2"/>
      <charset val="128"/>
      <scheme val="minor"/>
    </font>
    <font>
      <sz val="11"/>
      <color theme="0"/>
      <name val="ＭＳ Ｐゴシック"/>
      <family val="2"/>
      <charset val="128"/>
      <scheme val="minor"/>
    </font>
    <font>
      <sz val="6"/>
      <name val="ＭＳ Ｐゴシック"/>
      <family val="3"/>
      <charset val="128"/>
      <scheme val="minor"/>
    </font>
    <font>
      <sz val="6"/>
      <name val="ＭＳ Ｐゴシック"/>
      <family val="2"/>
      <charset val="128"/>
      <scheme val="minor"/>
    </font>
    <font>
      <sz val="11"/>
      <color theme="0"/>
      <name val="ＭＳ Ｐゴシック"/>
      <family val="3"/>
      <charset val="128"/>
      <scheme val="minor"/>
    </font>
    <font>
      <b/>
      <sz val="11"/>
      <color theme="1"/>
      <name val="ＭＳ Ｐゴシック"/>
      <family val="3"/>
      <charset val="128"/>
      <scheme val="minor"/>
    </font>
    <font>
      <u/>
      <sz val="11"/>
      <color theme="1"/>
      <name val="ＭＳ Ｐゴシック"/>
      <family val="2"/>
      <charset val="128"/>
      <scheme val="minor"/>
    </font>
    <font>
      <b/>
      <u/>
      <sz val="11"/>
      <color rgb="FFFF0000"/>
      <name val="ＭＳ Ｐゴシック"/>
      <family val="2"/>
      <charset val="128"/>
      <scheme val="minor"/>
    </font>
    <font>
      <sz val="10"/>
      <color theme="1"/>
      <name val="ＭＳ Ｐゴシック"/>
      <family val="2"/>
      <charset val="128"/>
      <scheme val="minor"/>
    </font>
    <font>
      <strike/>
      <sz val="10"/>
      <color theme="1"/>
      <name val="ＭＳ Ｐゴシック"/>
      <family val="2"/>
      <charset val="128"/>
      <scheme val="minor"/>
    </font>
    <font>
      <b/>
      <sz val="11"/>
      <color rgb="FFFF0000"/>
      <name val="ＭＳ Ｐゴシック"/>
      <family val="3"/>
      <charset val="128"/>
      <scheme val="minor"/>
    </font>
    <font>
      <b/>
      <u/>
      <sz val="11"/>
      <color theme="3"/>
      <name val="ＭＳ Ｐゴシック"/>
      <family val="3"/>
      <charset val="128"/>
      <scheme val="minor"/>
    </font>
    <font>
      <u/>
      <sz val="11"/>
      <color theme="1"/>
      <name val="ＭＳ Ｐゴシック"/>
      <family val="3"/>
      <charset val="128"/>
      <scheme val="minor"/>
    </font>
    <font>
      <b/>
      <u/>
      <sz val="11"/>
      <color theme="6" tint="-0.499984740745262"/>
      <name val="ＭＳ Ｐゴシック"/>
      <family val="3"/>
      <charset val="128"/>
      <scheme val="minor"/>
    </font>
    <font>
      <b/>
      <sz val="10"/>
      <color theme="1"/>
      <name val="ＭＳ Ｐゴシック"/>
      <family val="3"/>
      <charset val="128"/>
      <scheme val="minor"/>
    </font>
    <font>
      <b/>
      <u/>
      <sz val="11"/>
      <color theme="9" tint="-0.249977111117893"/>
      <name val="ＭＳ Ｐゴシック"/>
      <family val="3"/>
      <charset val="128"/>
      <scheme val="minor"/>
    </font>
    <font>
      <sz val="9"/>
      <color theme="1"/>
      <name val="ＭＳ ゴシック"/>
      <family val="3"/>
      <charset val="128"/>
    </font>
    <font>
      <sz val="10"/>
      <color theme="1"/>
      <name val="ＭＳ ゴシック"/>
      <family val="3"/>
      <charset val="128"/>
    </font>
    <font>
      <sz val="9"/>
      <color theme="0"/>
      <name val="ＭＳ ゴシック"/>
      <family val="3"/>
      <charset val="128"/>
    </font>
    <font>
      <sz val="11"/>
      <color rgb="FF000000"/>
      <name val="ＭＳ Ｐゴシック"/>
      <family val="3"/>
      <charset val="128"/>
    </font>
    <font>
      <sz val="11"/>
      <color theme="1"/>
      <name val="ＭＳ Ｐゴシック"/>
      <family val="2"/>
      <scheme val="minor"/>
    </font>
    <font>
      <sz val="11"/>
      <color theme="1"/>
      <name val="ＭＳ ゴシック"/>
      <family val="3"/>
      <charset val="128"/>
    </font>
    <font>
      <sz val="11"/>
      <name val="ＭＳ ゴシック"/>
      <family val="3"/>
      <charset val="128"/>
    </font>
    <font>
      <sz val="9"/>
      <color theme="1"/>
      <name val="ＭＳ Ｐゴシック"/>
      <family val="3"/>
      <charset val="128"/>
      <scheme val="minor"/>
    </font>
    <font>
      <sz val="9"/>
      <name val="ＭＳ ゴシック"/>
      <family val="3"/>
      <charset val="128"/>
    </font>
    <font>
      <sz val="9"/>
      <color theme="9" tint="0.59999389629810485"/>
      <name val="ＭＳ ゴシック"/>
      <family val="3"/>
      <charset val="128"/>
    </font>
    <font>
      <sz val="9"/>
      <color theme="9" tint="0.39997558519241921"/>
      <name val="ＭＳ ゴシック"/>
      <family val="3"/>
      <charset val="128"/>
    </font>
  </fonts>
  <fills count="20">
    <fill>
      <patternFill patternType="none"/>
    </fill>
    <fill>
      <patternFill patternType="gray125"/>
    </fill>
    <fill>
      <patternFill patternType="solid">
        <fgColor theme="1" tint="0.34998626667073579"/>
        <bgColor indexed="64"/>
      </patternFill>
    </fill>
    <fill>
      <patternFill patternType="solid">
        <fgColor theme="6" tint="0.79998168889431442"/>
        <bgColor indexed="64"/>
      </patternFill>
    </fill>
    <fill>
      <patternFill patternType="solid">
        <fgColor theme="4" tint="-0.249977111117893"/>
        <bgColor indexed="64"/>
      </patternFill>
    </fill>
    <fill>
      <patternFill patternType="solid">
        <fgColor rgb="FF92D050"/>
        <bgColor indexed="64"/>
      </patternFill>
    </fill>
    <fill>
      <patternFill patternType="solid">
        <fgColor theme="0" tint="-0.34998626667073579"/>
        <bgColor indexed="64"/>
      </patternFill>
    </fill>
    <fill>
      <patternFill patternType="solid">
        <fgColor theme="3"/>
        <bgColor indexed="64"/>
      </patternFill>
    </fill>
    <fill>
      <patternFill patternType="solid">
        <fgColor rgb="FF0070C0"/>
        <bgColor indexed="64"/>
      </patternFill>
    </fill>
    <fill>
      <patternFill patternType="solid">
        <fgColor theme="7" tint="-0.249977111117893"/>
        <bgColor indexed="64"/>
      </patternFill>
    </fill>
    <fill>
      <patternFill patternType="solid">
        <fgColor theme="5" tint="-0.249977111117893"/>
        <bgColor indexed="64"/>
      </patternFill>
    </fill>
    <fill>
      <patternFill patternType="solid">
        <fgColor theme="6" tint="-0.249977111117893"/>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1" tint="0.249977111117893"/>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double">
        <color auto="1"/>
      </left>
      <right style="double">
        <color auto="1"/>
      </right>
      <top style="double">
        <color auto="1"/>
      </top>
      <bottom style="double">
        <color auto="1"/>
      </bottom>
      <diagonal/>
    </border>
  </borders>
  <cellStyleXfs count="7">
    <xf numFmtId="0" fontId="0" fillId="0" borderId="0"/>
    <xf numFmtId="0" fontId="9" fillId="0" borderId="0">
      <alignment vertical="center"/>
    </xf>
    <xf numFmtId="0" fontId="9" fillId="0" borderId="0">
      <alignment vertical="center"/>
    </xf>
    <xf numFmtId="0" fontId="8" fillId="0" borderId="0">
      <alignment vertical="center"/>
    </xf>
    <xf numFmtId="0" fontId="29" fillId="0" borderId="0"/>
    <xf numFmtId="0" fontId="6" fillId="0" borderId="0">
      <alignment vertical="center"/>
    </xf>
    <xf numFmtId="0" fontId="6" fillId="0" borderId="0">
      <alignment vertical="center"/>
    </xf>
  </cellStyleXfs>
  <cellXfs count="76">
    <xf numFmtId="0" fontId="0" fillId="0" borderId="0" xfId="0"/>
    <xf numFmtId="0" fontId="9" fillId="0" borderId="0" xfId="2">
      <alignment vertical="center"/>
    </xf>
    <xf numFmtId="0" fontId="10" fillId="2" borderId="1" xfId="2" applyFont="1" applyFill="1" applyBorder="1" applyAlignment="1">
      <alignment horizontal="center" vertical="center"/>
    </xf>
    <xf numFmtId="0" fontId="13" fillId="2" borderId="1" xfId="2" applyFont="1" applyFill="1" applyBorder="1" applyAlignment="1">
      <alignment horizontal="center" vertical="center"/>
    </xf>
    <xf numFmtId="0" fontId="14" fillId="3" borderId="2" xfId="2" applyFont="1" applyFill="1" applyBorder="1" applyAlignment="1">
      <alignment horizontal="center" vertical="center"/>
    </xf>
    <xf numFmtId="0" fontId="9" fillId="4" borderId="0" xfId="2" applyFill="1">
      <alignment vertical="center"/>
    </xf>
    <xf numFmtId="0" fontId="9" fillId="0" borderId="0" xfId="2" applyAlignment="1">
      <alignment horizontal="right" vertical="center"/>
    </xf>
    <xf numFmtId="0" fontId="19" fillId="0" borderId="0" xfId="2" applyFont="1">
      <alignment vertical="center"/>
    </xf>
    <xf numFmtId="0" fontId="10" fillId="7" borderId="1" xfId="2" applyFont="1" applyFill="1" applyBorder="1">
      <alignment vertical="center"/>
    </xf>
    <xf numFmtId="0" fontId="25" fillId="5" borderId="0" xfId="0" applyFont="1" applyFill="1" applyAlignment="1">
      <alignment vertical="center"/>
    </xf>
    <xf numFmtId="0" fontId="26" fillId="0" borderId="1" xfId="0" quotePrefix="1" applyFont="1" applyBorder="1" applyAlignment="1">
      <alignment vertical="center"/>
    </xf>
    <xf numFmtId="0" fontId="27" fillId="7" borderId="1" xfId="0" applyFont="1" applyFill="1" applyBorder="1" applyAlignment="1">
      <alignment vertical="center"/>
    </xf>
    <xf numFmtId="0" fontId="26" fillId="6" borderId="1" xfId="0" applyFont="1" applyFill="1" applyBorder="1" applyAlignment="1">
      <alignment vertical="center"/>
    </xf>
    <xf numFmtId="0" fontId="15" fillId="0" borderId="0" xfId="0" applyFont="1" applyAlignment="1">
      <alignment vertical="center"/>
    </xf>
    <xf numFmtId="0" fontId="16" fillId="0" borderId="0" xfId="0" applyFont="1" applyAlignment="1">
      <alignment vertical="center"/>
    </xf>
    <xf numFmtId="0" fontId="17" fillId="0" borderId="0" xfId="0" applyFont="1" applyAlignment="1">
      <alignment vertical="center"/>
    </xf>
    <xf numFmtId="0" fontId="18" fillId="0" borderId="0" xfId="0" applyFont="1" applyAlignment="1">
      <alignment vertical="center"/>
    </xf>
    <xf numFmtId="0" fontId="20" fillId="0" borderId="0" xfId="0" applyFont="1" applyAlignment="1">
      <alignment vertical="center"/>
    </xf>
    <xf numFmtId="0" fontId="21" fillId="0" borderId="0" xfId="0" applyFont="1" applyAlignment="1">
      <alignment vertical="center"/>
    </xf>
    <xf numFmtId="0" fontId="22" fillId="0" borderId="0" xfId="0" applyFont="1" applyAlignment="1">
      <alignment vertical="center"/>
    </xf>
    <xf numFmtId="0" fontId="24" fillId="0" borderId="0" xfId="0" applyFont="1" applyAlignment="1">
      <alignment vertical="center"/>
    </xf>
    <xf numFmtId="14" fontId="17" fillId="0" borderId="0" xfId="0" applyNumberFormat="1" applyFont="1" applyAlignment="1">
      <alignment vertical="center"/>
    </xf>
    <xf numFmtId="0" fontId="30" fillId="0" borderId="0" xfId="0" applyFont="1" applyAlignment="1">
      <alignment vertical="center"/>
    </xf>
    <xf numFmtId="0" fontId="30" fillId="0" borderId="0" xfId="0" applyFont="1"/>
    <xf numFmtId="0" fontId="31" fillId="6" borderId="1" xfId="0" applyFont="1" applyFill="1" applyBorder="1" applyAlignment="1">
      <alignment vertical="center"/>
    </xf>
    <xf numFmtId="0" fontId="26" fillId="8" borderId="1" xfId="0" quotePrefix="1" applyFont="1" applyFill="1" applyBorder="1" applyAlignment="1">
      <alignment vertical="center"/>
    </xf>
    <xf numFmtId="0" fontId="26" fillId="9" borderId="1" xfId="0" quotePrefix="1" applyFont="1" applyFill="1" applyBorder="1" applyAlignment="1">
      <alignment vertical="center"/>
    </xf>
    <xf numFmtId="0" fontId="26" fillId="10" borderId="1" xfId="0" quotePrefix="1" applyFont="1" applyFill="1" applyBorder="1" applyAlignment="1">
      <alignment vertical="center"/>
    </xf>
    <xf numFmtId="0" fontId="26" fillId="11" borderId="1" xfId="0" quotePrefix="1" applyFont="1" applyFill="1" applyBorder="1" applyAlignment="1">
      <alignment vertical="center"/>
    </xf>
    <xf numFmtId="0" fontId="26" fillId="12" borderId="1" xfId="0" quotePrefix="1" applyFont="1" applyFill="1" applyBorder="1" applyAlignment="1">
      <alignment vertical="center"/>
    </xf>
    <xf numFmtId="0" fontId="25" fillId="13" borderId="1" xfId="0" applyFont="1" applyFill="1" applyBorder="1" applyAlignment="1">
      <alignment vertical="center"/>
    </xf>
    <xf numFmtId="0" fontId="25" fillId="0" borderId="1" xfId="0" applyFont="1" applyBorder="1" applyAlignment="1">
      <alignment vertical="center"/>
    </xf>
    <xf numFmtId="0" fontId="26" fillId="14" borderId="1" xfId="0" quotePrefix="1" applyFont="1" applyFill="1" applyBorder="1" applyAlignment="1">
      <alignment vertical="center"/>
    </xf>
    <xf numFmtId="0" fontId="25" fillId="15" borderId="1" xfId="0" applyFont="1" applyFill="1" applyBorder="1" applyAlignment="1">
      <alignment vertical="center"/>
    </xf>
    <xf numFmtId="0" fontId="7" fillId="0" borderId="1" xfId="2" applyFont="1" applyBorder="1">
      <alignment vertical="center"/>
    </xf>
    <xf numFmtId="0" fontId="7" fillId="0" borderId="1" xfId="2" applyFont="1" applyBorder="1" applyAlignment="1">
      <alignment vertical="center" wrapText="1"/>
    </xf>
    <xf numFmtId="0" fontId="10" fillId="2" borderId="1" xfId="5" applyFont="1" applyFill="1" applyBorder="1" applyAlignment="1">
      <alignment horizontal="center" vertical="center"/>
    </xf>
    <xf numFmtId="0" fontId="13" fillId="2" borderId="1" xfId="5" applyFont="1" applyFill="1" applyBorder="1" applyAlignment="1">
      <alignment horizontal="center" vertical="center"/>
    </xf>
    <xf numFmtId="0" fontId="13" fillId="2" borderId="1" xfId="6" applyFont="1" applyFill="1" applyBorder="1" applyAlignment="1">
      <alignment horizontal="center" vertical="center"/>
    </xf>
    <xf numFmtId="0" fontId="6" fillId="0" borderId="0" xfId="5">
      <alignment vertical="center"/>
    </xf>
    <xf numFmtId="0" fontId="14" fillId="3" borderId="2" xfId="5" applyFont="1" applyFill="1" applyBorder="1" applyAlignment="1">
      <alignment horizontal="center" vertical="center"/>
    </xf>
    <xf numFmtId="0" fontId="15" fillId="0" borderId="0" xfId="5" applyFont="1">
      <alignment vertical="center"/>
    </xf>
    <xf numFmtId="0" fontId="6" fillId="0" borderId="0" xfId="6">
      <alignment vertical="center"/>
    </xf>
    <xf numFmtId="0" fontId="6" fillId="0" borderId="1" xfId="5" applyBorder="1" applyAlignment="1">
      <alignment vertical="center" wrapText="1"/>
    </xf>
    <xf numFmtId="0" fontId="6" fillId="0" borderId="1" xfId="5" applyBorder="1">
      <alignment vertical="center"/>
    </xf>
    <xf numFmtId="0" fontId="6" fillId="0" borderId="1" xfId="6" applyBorder="1">
      <alignment vertical="center"/>
    </xf>
    <xf numFmtId="0" fontId="6" fillId="0" borderId="0" xfId="5" applyAlignment="1">
      <alignment horizontal="right" vertical="center"/>
    </xf>
    <xf numFmtId="0" fontId="16" fillId="0" borderId="0" xfId="5" applyFont="1">
      <alignment vertical="center"/>
    </xf>
    <xf numFmtId="0" fontId="17" fillId="0" borderId="0" xfId="5" applyFont="1">
      <alignment vertical="center"/>
    </xf>
    <xf numFmtId="0" fontId="18" fillId="0" borderId="0" xfId="5" applyFont="1">
      <alignment vertical="center"/>
    </xf>
    <xf numFmtId="0" fontId="32" fillId="0" borderId="1" xfId="5" applyFont="1" applyBorder="1" applyAlignment="1">
      <alignment horizontal="left" vertical="center"/>
    </xf>
    <xf numFmtId="0" fontId="19" fillId="0" borderId="0" xfId="5" applyFont="1">
      <alignment vertical="center"/>
    </xf>
    <xf numFmtId="0" fontId="6" fillId="0" borderId="1" xfId="6" applyBorder="1" applyAlignment="1">
      <alignment vertical="center" wrapText="1"/>
    </xf>
    <xf numFmtId="0" fontId="20" fillId="0" borderId="0" xfId="5" applyFont="1">
      <alignment vertical="center"/>
    </xf>
    <xf numFmtId="0" fontId="21" fillId="0" borderId="0" xfId="5" applyFont="1">
      <alignment vertical="center"/>
    </xf>
    <xf numFmtId="0" fontId="22" fillId="0" borderId="0" xfId="5" applyFont="1">
      <alignment vertical="center"/>
    </xf>
    <xf numFmtId="0" fontId="17" fillId="0" borderId="0" xfId="6" applyFont="1">
      <alignment vertical="center"/>
    </xf>
    <xf numFmtId="0" fontId="24" fillId="0" borderId="0" xfId="5" applyFont="1">
      <alignment vertical="center"/>
    </xf>
    <xf numFmtId="0" fontId="6" fillId="0" borderId="1" xfId="2" applyFont="1" applyBorder="1">
      <alignment vertical="center"/>
    </xf>
    <xf numFmtId="0" fontId="30" fillId="16" borderId="0" xfId="0" applyFont="1" applyFill="1" applyAlignment="1">
      <alignment vertical="center"/>
    </xf>
    <xf numFmtId="0" fontId="33" fillId="13" borderId="1" xfId="0" applyFont="1" applyFill="1" applyBorder="1" applyAlignment="1">
      <alignment vertical="center"/>
    </xf>
    <xf numFmtId="0" fontId="26" fillId="17" borderId="1" xfId="0" quotePrefix="1" applyFont="1" applyFill="1" applyBorder="1" applyAlignment="1">
      <alignment vertical="center"/>
    </xf>
    <xf numFmtId="0" fontId="26" fillId="18" borderId="1" xfId="0" quotePrefix="1" applyFont="1" applyFill="1" applyBorder="1" applyAlignment="1">
      <alignment vertical="center"/>
    </xf>
    <xf numFmtId="0" fontId="5" fillId="0" borderId="1" xfId="2" applyFont="1" applyBorder="1" applyAlignment="1">
      <alignment vertical="center" wrapText="1"/>
    </xf>
    <xf numFmtId="0" fontId="26" fillId="0" borderId="1" xfId="0" quotePrefix="1" applyFont="1" applyBorder="1" applyAlignment="1">
      <alignment vertical="center" wrapText="1"/>
    </xf>
    <xf numFmtId="0" fontId="34" fillId="7" borderId="1" xfId="0" applyFont="1" applyFill="1" applyBorder="1" applyAlignment="1">
      <alignment vertical="center"/>
    </xf>
    <xf numFmtId="0" fontId="4" fillId="0" borderId="1" xfId="2" applyFont="1" applyBorder="1" applyAlignment="1">
      <alignment vertical="center" wrapText="1"/>
    </xf>
    <xf numFmtId="0" fontId="35" fillId="7" borderId="1" xfId="0" applyFont="1" applyFill="1" applyBorder="1" applyAlignment="1">
      <alignment vertical="center"/>
    </xf>
    <xf numFmtId="0" fontId="33" fillId="15" borderId="1" xfId="0" applyFont="1" applyFill="1" applyBorder="1" applyAlignment="1">
      <alignment vertical="center"/>
    </xf>
    <xf numFmtId="0" fontId="35" fillId="19" borderId="1" xfId="0" applyFont="1" applyFill="1" applyBorder="1" applyAlignment="1">
      <alignment vertical="center"/>
    </xf>
    <xf numFmtId="0" fontId="3" fillId="0" borderId="1" xfId="2" applyFont="1" applyBorder="1" applyAlignment="1">
      <alignment vertical="center" wrapText="1"/>
    </xf>
    <xf numFmtId="0" fontId="2" fillId="0" borderId="1" xfId="5" applyFont="1" applyBorder="1">
      <alignment vertical="center"/>
    </xf>
    <xf numFmtId="0" fontId="2" fillId="0" borderId="1" xfId="6" applyFont="1" applyBorder="1">
      <alignment vertical="center"/>
    </xf>
    <xf numFmtId="0" fontId="0" fillId="4" borderId="0" xfId="0" applyFill="1" applyAlignment="1">
      <alignment vertical="center"/>
    </xf>
    <xf numFmtId="0" fontId="0" fillId="0" borderId="0" xfId="0" applyAlignment="1">
      <alignment vertical="center"/>
    </xf>
    <xf numFmtId="0" fontId="1" fillId="0" borderId="1" xfId="5" applyFont="1" applyBorder="1">
      <alignment vertical="center"/>
    </xf>
  </cellXfs>
  <cellStyles count="7">
    <cellStyle name="標準" xfId="0" builtinId="0"/>
    <cellStyle name="標準 16" xfId="2" xr:uid="{00000000-0005-0000-0000-000002000000}"/>
    <cellStyle name="標準 16 2" xfId="6" xr:uid="{CD24DBCE-B44C-41B4-B8B5-E692EEBE6E46}"/>
    <cellStyle name="標準 2" xfId="1" xr:uid="{00000000-0005-0000-0000-000003000000}"/>
    <cellStyle name="標準 2 2" xfId="4" xr:uid="{00000000-0005-0000-0000-000004000000}"/>
    <cellStyle name="標準 3" xfId="3" xr:uid="{00000000-0005-0000-0000-000005000000}"/>
    <cellStyle name="標準 4" xfId="5" xr:uid="{8D667815-451D-40CD-8279-2014C3684D7B}"/>
  </cellStyles>
  <dxfs count="0"/>
  <tableStyles count="0" defaultTableStyle="TableStyleMedium2" defaultPivotStyle="PivotStyleMedium9"/>
  <colors>
    <mruColors>
      <color rgb="FF00E266"/>
      <color rgb="FFCC99FF"/>
      <color rgb="FFFF5050"/>
      <color rgb="FF66CCFF"/>
      <color rgb="FFFF9900"/>
      <color rgb="FFCCFF99"/>
      <color rgb="FFFFCC66"/>
      <color rgb="FF00CC00"/>
      <color rgb="FFFF9999"/>
      <color rgb="FFCDCD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76200</xdr:colOff>
          <xdr:row>2</xdr:row>
          <xdr:rowOff>298450</xdr:rowOff>
        </xdr:from>
        <xdr:to>
          <xdr:col>3</xdr:col>
          <xdr:colOff>1847850</xdr:colOff>
          <xdr:row>4</xdr:row>
          <xdr:rowOff>76200</xdr:rowOff>
        </xdr:to>
        <xdr:sp macro="" textlink="">
          <xdr:nvSpPr>
            <xdr:cNvPr id="8194" name="Button 1" hidden="1">
              <a:extLst>
                <a:ext uri="{63B3BB69-23CF-44E3-9099-C40C66FF867C}">
                  <a14:compatExt spid="_x0000_s8194"/>
                </a:ext>
                <a:ext uri="{FF2B5EF4-FFF2-40B4-BE49-F238E27FC236}">
                  <a16:creationId xmlns:a16="http://schemas.microsoft.com/office/drawing/2014/main" id="{00000000-0008-0000-0000-0000022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出力</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50800</xdr:colOff>
          <xdr:row>2</xdr:row>
          <xdr:rowOff>133350</xdr:rowOff>
        </xdr:from>
        <xdr:to>
          <xdr:col>5</xdr:col>
          <xdr:colOff>1822450</xdr:colOff>
          <xdr:row>4</xdr:row>
          <xdr:rowOff>88900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出力</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Subversion\MobileProject\NodeWorld\Data\&#12456;&#12463;&#12475;&#12523;&#29992;&#12484;&#12540;&#12523;.xlsm" TargetMode="External"/><Relationship Id="rId1" Type="http://schemas.openxmlformats.org/officeDocument/2006/relationships/externalLinkPath" Target="&#12456;&#12463;&#12475;&#12523;&#29992;&#12484;&#12540;&#125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ツール導入方法"/>
      <sheetName val="出力ツール"/>
      <sheetName val="集約ツール"/>
      <sheetName val="HTML変換"/>
      <sheetName val="IDクラス出力ツール"/>
      <sheetName val="JSON出力ツール"/>
      <sheetName val="エクセル用ツール"/>
    </sheetNames>
    <definedNames>
      <definedName name="Sheet19.IDクラス出力ツール"/>
      <definedName name="Sheet20.JSON出力ツール"/>
    </defined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lnDef>
      <a:spPr>
        <a:ln w="76200">
          <a:solidFill>
            <a:sysClr val="windowText" lastClr="000000"/>
          </a:solidFill>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0">
    <tabColor theme="6" tint="0.39997558519241921"/>
  </sheetPr>
  <dimension ref="A1:J75"/>
  <sheetViews>
    <sheetView workbookViewId="0">
      <selection activeCell="B7" sqref="B7:B9"/>
    </sheetView>
  </sheetViews>
  <sheetFormatPr defaultColWidth="9" defaultRowHeight="13" x14ac:dyDescent="0.2"/>
  <cols>
    <col min="1" max="1" width="32.453125" style="1" bestFit="1" customWidth="1"/>
    <col min="2" max="2" width="19.36328125" style="1" customWidth="1"/>
    <col min="3" max="3" width="9" style="1"/>
    <col min="4" max="4" width="25" style="1" customWidth="1"/>
    <col min="5" max="5" width="9" style="1"/>
    <col min="6" max="6" width="2" style="1" customWidth="1"/>
    <col min="7" max="7" width="2" style="5" customWidth="1"/>
    <col min="8" max="8" width="2" style="1" customWidth="1"/>
    <col min="9" max="9" width="2.453125" style="13" customWidth="1"/>
    <col min="10" max="10" width="10.26953125" style="15" bestFit="1" customWidth="1"/>
    <col min="11" max="16384" width="9" style="1"/>
  </cols>
  <sheetData>
    <row r="1" spans="1:10" ht="14" thickTop="1" thickBot="1" x14ac:dyDescent="0.25">
      <c r="A1" s="2" t="s">
        <v>0</v>
      </c>
      <c r="B1" s="3" t="s">
        <v>1</v>
      </c>
      <c r="D1" s="4" t="s">
        <v>2</v>
      </c>
      <c r="E1" s="4" t="s">
        <v>291</v>
      </c>
      <c r="J1" s="1"/>
    </row>
    <row r="2" spans="1:10" ht="13.5" thickTop="1" x14ac:dyDescent="0.2">
      <c r="A2" s="8" t="s">
        <v>74</v>
      </c>
      <c r="B2" s="34" t="s">
        <v>75</v>
      </c>
      <c r="D2" s="6"/>
      <c r="I2" s="14" t="s">
        <v>3</v>
      </c>
      <c r="J2" s="1"/>
    </row>
    <row r="3" spans="1:10" x14ac:dyDescent="0.2">
      <c r="A3" s="8" t="s">
        <v>76</v>
      </c>
      <c r="B3" s="35" t="s">
        <v>79</v>
      </c>
      <c r="J3" s="15" t="s">
        <v>4</v>
      </c>
    </row>
    <row r="4" spans="1:10" x14ac:dyDescent="0.2">
      <c r="A4" s="8" t="s">
        <v>154</v>
      </c>
      <c r="B4" s="63" t="s">
        <v>156</v>
      </c>
      <c r="J4" s="16" t="s">
        <v>5</v>
      </c>
    </row>
    <row r="5" spans="1:10" x14ac:dyDescent="0.2">
      <c r="A5" s="8" t="s">
        <v>155</v>
      </c>
      <c r="B5" s="63" t="s">
        <v>157</v>
      </c>
      <c r="J5" s="15" t="s">
        <v>6</v>
      </c>
    </row>
    <row r="6" spans="1:10" x14ac:dyDescent="0.2">
      <c r="A6" s="8" t="s">
        <v>96</v>
      </c>
      <c r="B6" s="35" t="s">
        <v>97</v>
      </c>
      <c r="D6" s="7" t="str">
        <f ca="1">IF(MID(CELL("filename",A1),FIND("[",CELL("filename",A1))+1,FIND("]",CELL("filename",A1))-FIND("[",CELL("filename",A1))-1)="エクセル用ツール.xlsm","ここからの直接起動はできません！","")</f>
        <v/>
      </c>
    </row>
    <row r="7" spans="1:10" x14ac:dyDescent="0.2">
      <c r="A7" s="8" t="s">
        <v>78</v>
      </c>
      <c r="B7" s="35" t="s">
        <v>81</v>
      </c>
      <c r="I7" s="17" t="s">
        <v>7</v>
      </c>
    </row>
    <row r="8" spans="1:10" x14ac:dyDescent="0.2">
      <c r="A8" s="8" t="s">
        <v>190</v>
      </c>
      <c r="B8" s="63" t="s">
        <v>191</v>
      </c>
      <c r="J8" s="15" t="s">
        <v>8</v>
      </c>
    </row>
    <row r="9" spans="1:10" x14ac:dyDescent="0.2">
      <c r="A9" s="8" t="s">
        <v>231</v>
      </c>
      <c r="B9" s="66" t="s">
        <v>232</v>
      </c>
      <c r="J9" s="15" t="s">
        <v>9</v>
      </c>
    </row>
    <row r="10" spans="1:10" x14ac:dyDescent="0.2">
      <c r="A10" s="8" t="s">
        <v>77</v>
      </c>
      <c r="B10" s="35" t="s">
        <v>80</v>
      </c>
      <c r="J10" s="15" t="s">
        <v>10</v>
      </c>
    </row>
    <row r="11" spans="1:10" x14ac:dyDescent="0.2">
      <c r="A11" s="8" t="s">
        <v>274</v>
      </c>
      <c r="B11" s="70" t="s">
        <v>275</v>
      </c>
      <c r="I11" s="18"/>
      <c r="J11" s="15" t="s">
        <v>11</v>
      </c>
    </row>
    <row r="12" spans="1:10" x14ac:dyDescent="0.2">
      <c r="I12" s="18"/>
    </row>
    <row r="13" spans="1:10" x14ac:dyDescent="0.2">
      <c r="I13" s="19" t="s">
        <v>12</v>
      </c>
    </row>
    <row r="14" spans="1:10" x14ac:dyDescent="0.2">
      <c r="I14" s="18"/>
    </row>
    <row r="15" spans="1:10" x14ac:dyDescent="0.2">
      <c r="J15" s="15" t="s">
        <v>13</v>
      </c>
    </row>
    <row r="16" spans="1:10" x14ac:dyDescent="0.2">
      <c r="J16" s="15" t="s">
        <v>14</v>
      </c>
    </row>
    <row r="18" spans="9:10" x14ac:dyDescent="0.2">
      <c r="J18" s="15" t="s">
        <v>37</v>
      </c>
    </row>
    <row r="19" spans="9:10" x14ac:dyDescent="0.2">
      <c r="J19" s="15" t="s">
        <v>38</v>
      </c>
    </row>
    <row r="21" spans="9:10" x14ac:dyDescent="0.2">
      <c r="J21" s="15" t="s">
        <v>15</v>
      </c>
    </row>
    <row r="22" spans="9:10" x14ac:dyDescent="0.2">
      <c r="J22" s="15" t="s">
        <v>16</v>
      </c>
    </row>
    <row r="24" spans="9:10" x14ac:dyDescent="0.2">
      <c r="J24" s="15" t="s">
        <v>39</v>
      </c>
    </row>
    <row r="25" spans="9:10" x14ac:dyDescent="0.2">
      <c r="J25" s="15" t="s">
        <v>40</v>
      </c>
    </row>
    <row r="26" spans="9:10" x14ac:dyDescent="0.2">
      <c r="J26" s="15" t="s">
        <v>41</v>
      </c>
    </row>
    <row r="27" spans="9:10" x14ac:dyDescent="0.2">
      <c r="J27" s="15" t="s">
        <v>42</v>
      </c>
    </row>
    <row r="29" spans="9:10" x14ac:dyDescent="0.2">
      <c r="I29" s="20"/>
      <c r="J29" s="15" t="s">
        <v>17</v>
      </c>
    </row>
    <row r="30" spans="9:10" x14ac:dyDescent="0.2">
      <c r="J30" s="15" t="s">
        <v>18</v>
      </c>
    </row>
    <row r="31" spans="9:10" x14ac:dyDescent="0.2">
      <c r="J31" s="15" t="s">
        <v>19</v>
      </c>
    </row>
    <row r="33" spans="9:10" x14ac:dyDescent="0.2">
      <c r="J33" s="15" t="s">
        <v>20</v>
      </c>
    </row>
    <row r="34" spans="9:10" x14ac:dyDescent="0.2">
      <c r="J34" s="15" t="s">
        <v>21</v>
      </c>
    </row>
    <row r="35" spans="9:10" x14ac:dyDescent="0.2">
      <c r="J35" s="15" t="s">
        <v>22</v>
      </c>
    </row>
    <row r="37" spans="9:10" x14ac:dyDescent="0.2">
      <c r="J37" s="15" t="s">
        <v>23</v>
      </c>
    </row>
    <row r="38" spans="9:10" x14ac:dyDescent="0.2">
      <c r="J38" s="15" t="s">
        <v>24</v>
      </c>
    </row>
    <row r="39" spans="9:10" x14ac:dyDescent="0.2">
      <c r="J39" s="15" t="s">
        <v>25</v>
      </c>
    </row>
    <row r="41" spans="9:10" x14ac:dyDescent="0.2">
      <c r="I41" s="20" t="s">
        <v>26</v>
      </c>
    </row>
    <row r="42" spans="9:10" x14ac:dyDescent="0.2">
      <c r="J42" s="15" t="s">
        <v>44</v>
      </c>
    </row>
    <row r="43" spans="9:10" x14ac:dyDescent="0.2">
      <c r="J43" s="15" t="s">
        <v>27</v>
      </c>
    </row>
    <row r="44" spans="9:10" x14ac:dyDescent="0.2">
      <c r="J44" s="15" t="s">
        <v>28</v>
      </c>
    </row>
    <row r="46" spans="9:10" x14ac:dyDescent="0.2">
      <c r="J46" s="15" t="s">
        <v>45</v>
      </c>
    </row>
    <row r="47" spans="9:10" x14ac:dyDescent="0.2">
      <c r="J47" s="15" t="s">
        <v>32</v>
      </c>
    </row>
    <row r="49" spans="10:10" x14ac:dyDescent="0.2">
      <c r="J49" s="15" t="s">
        <v>46</v>
      </c>
    </row>
    <row r="50" spans="10:10" x14ac:dyDescent="0.2">
      <c r="J50" s="15" t="s">
        <v>33</v>
      </c>
    </row>
    <row r="51" spans="10:10" x14ac:dyDescent="0.2">
      <c r="J51" s="15" t="s">
        <v>34</v>
      </c>
    </row>
    <row r="53" spans="10:10" x14ac:dyDescent="0.2">
      <c r="J53" s="15" t="s">
        <v>47</v>
      </c>
    </row>
    <row r="54" spans="10:10" x14ac:dyDescent="0.2">
      <c r="J54" s="15" t="s">
        <v>36</v>
      </c>
    </row>
    <row r="56" spans="10:10" x14ac:dyDescent="0.2">
      <c r="J56" s="15" t="s">
        <v>48</v>
      </c>
    </row>
    <row r="57" spans="10:10" x14ac:dyDescent="0.2">
      <c r="J57" s="15" t="s">
        <v>43</v>
      </c>
    </row>
    <row r="59" spans="10:10" x14ac:dyDescent="0.2">
      <c r="J59" s="15" t="s">
        <v>49</v>
      </c>
    </row>
    <row r="60" spans="10:10" x14ac:dyDescent="0.2">
      <c r="J60" s="15" t="s">
        <v>50</v>
      </c>
    </row>
    <row r="62" spans="10:10" x14ac:dyDescent="0.2">
      <c r="J62" s="21"/>
    </row>
    <row r="65" spans="10:10" x14ac:dyDescent="0.2">
      <c r="J65" s="21"/>
    </row>
    <row r="68" spans="10:10" x14ac:dyDescent="0.2">
      <c r="J68" s="21"/>
    </row>
    <row r="72" spans="10:10" x14ac:dyDescent="0.2">
      <c r="J72" s="21"/>
    </row>
    <row r="75" spans="10:10" x14ac:dyDescent="0.2">
      <c r="J75" s="21"/>
    </row>
  </sheetData>
  <phoneticPr fontId="1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1">
              <controlPr defaultSize="0" print="0" autoFill="0" autoPict="0" macro="[1]!Sheet20.JSON出力ツール">
                <anchor moveWithCells="1" sizeWithCells="1">
                  <from>
                    <xdr:col>3</xdr:col>
                    <xdr:colOff>76200</xdr:colOff>
                    <xdr:row>2</xdr:row>
                    <xdr:rowOff>298450</xdr:rowOff>
                  </from>
                  <to>
                    <xdr:col>3</xdr:col>
                    <xdr:colOff>1847850</xdr:colOff>
                    <xdr:row>4</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BF69B-0273-45EB-9E29-BD3D01FEB624}">
  <sheetPr codeName="Sheet19">
    <tabColor theme="8" tint="0.59999389629810485"/>
  </sheetPr>
  <dimension ref="A1:L47"/>
  <sheetViews>
    <sheetView workbookViewId="0">
      <selection activeCell="B5" sqref="B5"/>
    </sheetView>
  </sheetViews>
  <sheetFormatPr defaultColWidth="9" defaultRowHeight="13" x14ac:dyDescent="0.2"/>
  <cols>
    <col min="1" max="1" width="32.453125" style="39" bestFit="1" customWidth="1"/>
    <col min="2" max="2" width="19.36328125" style="39" customWidth="1"/>
    <col min="3" max="4" width="7.08984375" style="42" bestFit="1" customWidth="1"/>
    <col min="5" max="5" width="9" style="39"/>
    <col min="6" max="6" width="25" style="39" bestFit="1" customWidth="1"/>
    <col min="7" max="7" width="9" style="39"/>
    <col min="8" max="8" width="2" style="39" customWidth="1"/>
    <col min="9" max="9" width="2" style="73" customWidth="1"/>
    <col min="10" max="10" width="2" style="74" customWidth="1"/>
    <col min="11" max="11" width="2.453125" style="41" customWidth="1"/>
    <col min="12" max="12" width="9" style="42"/>
    <col min="13" max="16384" width="9" style="39"/>
  </cols>
  <sheetData>
    <row r="1" spans="1:12" ht="14" thickTop="1" thickBot="1" x14ac:dyDescent="0.25">
      <c r="A1" s="36" t="s">
        <v>0</v>
      </c>
      <c r="B1" s="37" t="s">
        <v>1</v>
      </c>
      <c r="C1" s="38" t="s">
        <v>100</v>
      </c>
      <c r="D1" s="38" t="s">
        <v>101</v>
      </c>
      <c r="F1" s="40" t="s">
        <v>102</v>
      </c>
      <c r="G1" s="40" t="s">
        <v>290</v>
      </c>
    </row>
    <row r="2" spans="1:12" ht="13.5" thickTop="1" x14ac:dyDescent="0.2">
      <c r="A2" s="8" t="s">
        <v>120</v>
      </c>
      <c r="B2" s="58" t="s">
        <v>121</v>
      </c>
      <c r="C2" s="45" t="s">
        <v>118</v>
      </c>
      <c r="D2" s="45" t="s">
        <v>119</v>
      </c>
      <c r="F2" s="46"/>
      <c r="K2" s="47" t="s">
        <v>3</v>
      </c>
    </row>
    <row r="3" spans="1:12" x14ac:dyDescent="0.2">
      <c r="A3" s="8" t="s">
        <v>76</v>
      </c>
      <c r="B3" s="71" t="s">
        <v>279</v>
      </c>
      <c r="C3" s="72" t="s">
        <v>280</v>
      </c>
      <c r="D3" s="72" t="s">
        <v>281</v>
      </c>
      <c r="L3" s="48" t="s">
        <v>4</v>
      </c>
    </row>
    <row r="4" spans="1:12" x14ac:dyDescent="0.2">
      <c r="A4" s="8" t="s">
        <v>292</v>
      </c>
      <c r="B4" s="75" t="s">
        <v>293</v>
      </c>
      <c r="C4" s="72" t="s">
        <v>118</v>
      </c>
      <c r="D4" s="72" t="s">
        <v>119</v>
      </c>
      <c r="L4" s="49" t="s">
        <v>5</v>
      </c>
    </row>
    <row r="5" spans="1:12" x14ac:dyDescent="0.2">
      <c r="A5" s="43"/>
      <c r="B5" s="44"/>
      <c r="C5" s="45"/>
      <c r="D5" s="45"/>
      <c r="L5" s="48" t="s">
        <v>6</v>
      </c>
    </row>
    <row r="6" spans="1:12" x14ac:dyDescent="0.2">
      <c r="A6" s="50"/>
      <c r="B6" s="44"/>
      <c r="C6" s="45"/>
      <c r="D6" s="45"/>
      <c r="F6" s="51" t="str">
        <f ca="1">IF(MID(CELL("filename",A1),FIND("[",CELL("filename",A1))+1,FIND("]",CELL("filename",A1))-FIND("[",CELL("filename",A1))-1)="エクセル用ツール.xlsm","ここからの直接起動はできません！","")</f>
        <v/>
      </c>
      <c r="L6" s="48"/>
    </row>
    <row r="7" spans="1:12" x14ac:dyDescent="0.2">
      <c r="A7" s="43"/>
      <c r="B7" s="43"/>
      <c r="C7" s="52"/>
      <c r="D7" s="52"/>
      <c r="K7" s="53" t="s">
        <v>7</v>
      </c>
      <c r="L7" s="48"/>
    </row>
    <row r="8" spans="1:12" x14ac:dyDescent="0.2">
      <c r="L8" s="48" t="s">
        <v>103</v>
      </c>
    </row>
    <row r="9" spans="1:12" x14ac:dyDescent="0.2">
      <c r="L9" s="48" t="s">
        <v>104</v>
      </c>
    </row>
    <row r="10" spans="1:12" x14ac:dyDescent="0.2">
      <c r="L10" s="48" t="s">
        <v>105</v>
      </c>
    </row>
    <row r="11" spans="1:12" x14ac:dyDescent="0.2">
      <c r="K11" s="54"/>
      <c r="L11" s="48" t="s">
        <v>11</v>
      </c>
    </row>
    <row r="12" spans="1:12" x14ac:dyDescent="0.2">
      <c r="K12" s="54"/>
      <c r="L12" s="48"/>
    </row>
    <row r="13" spans="1:12" x14ac:dyDescent="0.2">
      <c r="K13" s="55" t="s">
        <v>12</v>
      </c>
      <c r="L13" s="48"/>
    </row>
    <row r="14" spans="1:12" x14ac:dyDescent="0.2">
      <c r="K14" s="54"/>
      <c r="L14" s="48"/>
    </row>
    <row r="15" spans="1:12" x14ac:dyDescent="0.2">
      <c r="L15" s="48" t="s">
        <v>13</v>
      </c>
    </row>
    <row r="16" spans="1:12" x14ac:dyDescent="0.2">
      <c r="L16" s="48" t="s">
        <v>14</v>
      </c>
    </row>
    <row r="17" spans="11:12" x14ac:dyDescent="0.2">
      <c r="L17" s="48" t="s">
        <v>106</v>
      </c>
    </row>
    <row r="18" spans="11:12" x14ac:dyDescent="0.2">
      <c r="L18" s="56" t="s">
        <v>107</v>
      </c>
    </row>
    <row r="19" spans="11:12" x14ac:dyDescent="0.2">
      <c r="L19" s="56" t="s">
        <v>108</v>
      </c>
    </row>
    <row r="21" spans="11:12" x14ac:dyDescent="0.2">
      <c r="L21" s="48" t="s">
        <v>37</v>
      </c>
    </row>
    <row r="22" spans="11:12" x14ac:dyDescent="0.2">
      <c r="L22" s="48" t="s">
        <v>38</v>
      </c>
    </row>
    <row r="23" spans="11:12" x14ac:dyDescent="0.2">
      <c r="L23" s="48"/>
    </row>
    <row r="24" spans="11:12" x14ac:dyDescent="0.2">
      <c r="L24" s="48" t="s">
        <v>15</v>
      </c>
    </row>
    <row r="25" spans="11:12" x14ac:dyDescent="0.2">
      <c r="L25" s="48" t="s">
        <v>16</v>
      </c>
    </row>
    <row r="26" spans="11:12" x14ac:dyDescent="0.2">
      <c r="L26" s="48"/>
    </row>
    <row r="27" spans="11:12" x14ac:dyDescent="0.2">
      <c r="L27" s="48" t="s">
        <v>39</v>
      </c>
    </row>
    <row r="28" spans="11:12" x14ac:dyDescent="0.2">
      <c r="L28" s="48" t="s">
        <v>40</v>
      </c>
    </row>
    <row r="29" spans="11:12" x14ac:dyDescent="0.2">
      <c r="K29" s="57"/>
      <c r="L29" s="48" t="s">
        <v>41</v>
      </c>
    </row>
    <row r="30" spans="11:12" x14ac:dyDescent="0.2">
      <c r="L30" s="48" t="s">
        <v>42</v>
      </c>
    </row>
    <row r="32" spans="11:12" x14ac:dyDescent="0.2">
      <c r="K32" s="57" t="s">
        <v>26</v>
      </c>
      <c r="L32" s="48"/>
    </row>
    <row r="33" spans="12:12" x14ac:dyDescent="0.2">
      <c r="L33" s="48"/>
    </row>
    <row r="34" spans="12:12" x14ac:dyDescent="0.2">
      <c r="L34" s="48" t="s">
        <v>109</v>
      </c>
    </row>
    <row r="35" spans="12:12" x14ac:dyDescent="0.2">
      <c r="L35" s="48" t="s">
        <v>110</v>
      </c>
    </row>
    <row r="37" spans="12:12" x14ac:dyDescent="0.2">
      <c r="L37" s="48" t="s">
        <v>111</v>
      </c>
    </row>
    <row r="38" spans="12:12" x14ac:dyDescent="0.2">
      <c r="L38" s="48" t="s">
        <v>112</v>
      </c>
    </row>
    <row r="40" spans="12:12" x14ac:dyDescent="0.2">
      <c r="L40" s="48" t="s">
        <v>113</v>
      </c>
    </row>
    <row r="41" spans="12:12" x14ac:dyDescent="0.2">
      <c r="L41" s="48" t="s">
        <v>114</v>
      </c>
    </row>
    <row r="43" spans="12:12" x14ac:dyDescent="0.2">
      <c r="L43" s="48" t="s">
        <v>115</v>
      </c>
    </row>
    <row r="44" spans="12:12" x14ac:dyDescent="0.2">
      <c r="L44" s="48" t="s">
        <v>116</v>
      </c>
    </row>
    <row r="46" spans="12:12" x14ac:dyDescent="0.2">
      <c r="L46" s="48" t="s">
        <v>49</v>
      </c>
    </row>
    <row r="47" spans="12:12" x14ac:dyDescent="0.2">
      <c r="L47" s="48" t="s">
        <v>117</v>
      </c>
    </row>
  </sheetData>
  <phoneticPr fontId="1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1]!Sheet19.IDクラス出力ツール">
                <anchor moveWithCells="1" sizeWithCells="1">
                  <from>
                    <xdr:col>5</xdr:col>
                    <xdr:colOff>50800</xdr:colOff>
                    <xdr:row>2</xdr:row>
                    <xdr:rowOff>133350</xdr:rowOff>
                  </from>
                  <to>
                    <xdr:col>5</xdr:col>
                    <xdr:colOff>1822450</xdr:colOff>
                    <xdr:row>4</xdr:row>
                    <xdr:rowOff>88900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1529A-0A68-4A94-9E9B-04D151E754CE}">
  <sheetPr codeName="Sheet1"/>
  <dimension ref="A3:E19"/>
  <sheetViews>
    <sheetView workbookViewId="0">
      <selection activeCell="A19" sqref="A19"/>
    </sheetView>
  </sheetViews>
  <sheetFormatPr defaultColWidth="9" defaultRowHeight="13" x14ac:dyDescent="0.2"/>
  <cols>
    <col min="1" max="1" width="10.90625" style="22" customWidth="1"/>
    <col min="2" max="2" width="21.90625" style="22" bestFit="1" customWidth="1"/>
    <col min="3" max="4" width="21.90625" style="22" customWidth="1"/>
    <col min="5" max="5" width="36.54296875" style="22" customWidth="1"/>
    <col min="6" max="6" width="9" style="23"/>
    <col min="7" max="7" width="9.26953125" style="23" bestFit="1" customWidth="1"/>
    <col min="8" max="16384" width="9" style="23"/>
  </cols>
  <sheetData>
    <row r="3" spans="1:5" x14ac:dyDescent="0.2">
      <c r="A3" s="9" t="s">
        <v>29</v>
      </c>
      <c r="B3" s="9"/>
      <c r="C3" s="9"/>
      <c r="D3" s="9"/>
      <c r="E3" s="9"/>
    </row>
    <row r="4" spans="1:5" x14ac:dyDescent="0.2">
      <c r="A4" s="11" t="s">
        <v>30</v>
      </c>
      <c r="B4" s="11" t="s">
        <v>35</v>
      </c>
      <c r="C4" s="11" t="s">
        <v>265</v>
      </c>
      <c r="D4" s="30" t="s">
        <v>61</v>
      </c>
      <c r="E4" s="11" t="s">
        <v>60</v>
      </c>
    </row>
    <row r="5" spans="1:5" x14ac:dyDescent="0.2">
      <c r="A5" s="12" t="s">
        <v>51</v>
      </c>
      <c r="B5" s="12" t="s">
        <v>58</v>
      </c>
      <c r="C5" s="12" t="s">
        <v>266</v>
      </c>
      <c r="D5" s="12"/>
      <c r="E5" s="12" t="s">
        <v>59</v>
      </c>
    </row>
    <row r="6" spans="1:5" x14ac:dyDescent="0.2">
      <c r="A6" s="10">
        <v>0</v>
      </c>
      <c r="B6" s="10" t="s">
        <v>69</v>
      </c>
      <c r="C6" s="10">
        <v>0</v>
      </c>
      <c r="D6" s="32"/>
      <c r="E6" s="10" t="str" cm="1">
        <f t="array" ref="E6">GetColorJSON(D6)</f>
        <v>{"r":1,"g":1,"b":1,"a":1}</v>
      </c>
    </row>
    <row r="7" spans="1:5" x14ac:dyDescent="0.2">
      <c r="A7" s="10">
        <v>1</v>
      </c>
      <c r="B7" s="10" t="s">
        <v>64</v>
      </c>
      <c r="C7" s="10">
        <v>0</v>
      </c>
      <c r="D7" s="29"/>
      <c r="E7" s="10" t="str" cm="1">
        <f t="array" ref="E7">GetColorJSON(D7)</f>
        <v>{"r":1,"g":0.753,"b":0,"a":1}</v>
      </c>
    </row>
    <row r="8" spans="1:5" x14ac:dyDescent="0.2">
      <c r="A8" s="10">
        <v>2</v>
      </c>
      <c r="B8" s="10" t="s">
        <v>55</v>
      </c>
      <c r="C8" s="10">
        <v>0</v>
      </c>
      <c r="D8" s="25"/>
      <c r="E8" s="10" t="str" cm="1">
        <f t="array" ref="E8">GetColorJSON(D8)</f>
        <v>{"r":0,"g":0.439,"b":0.753,"a":1}</v>
      </c>
    </row>
    <row r="9" spans="1:5" x14ac:dyDescent="0.2">
      <c r="A9" s="10">
        <v>3</v>
      </c>
      <c r="B9" s="10" t="s">
        <v>56</v>
      </c>
      <c r="C9" s="10">
        <v>0</v>
      </c>
      <c r="D9" s="26"/>
      <c r="E9" s="10" t="str" cm="1">
        <f t="array" ref="E9">GetColorJSON(D9)</f>
        <v>{"r":0.376,"g":0.286,"b":0.478,"a":1}</v>
      </c>
    </row>
    <row r="10" spans="1:5" x14ac:dyDescent="0.2">
      <c r="A10" s="10">
        <v>4</v>
      </c>
      <c r="B10" s="10" t="s">
        <v>57</v>
      </c>
      <c r="C10" s="10">
        <v>1</v>
      </c>
      <c r="D10" s="28"/>
      <c r="E10" s="10" t="str" cm="1">
        <f t="array" ref="E10">GetColorJSON(D10)</f>
        <v>{"r":0.463,"g":0.576,"b":0.235,"a":1}</v>
      </c>
    </row>
    <row r="11" spans="1:5" x14ac:dyDescent="0.2">
      <c r="A11" s="10">
        <v>5</v>
      </c>
      <c r="B11" s="10" t="s">
        <v>150</v>
      </c>
      <c r="C11" s="10">
        <v>0</v>
      </c>
      <c r="D11" s="27"/>
      <c r="E11" s="10" t="str" cm="1">
        <f t="array" ref="E11">GetColorJSON(D11)</f>
        <v>{"r":0.588,"g":0.212,"b":0.204,"a":1}</v>
      </c>
    </row>
    <row r="12" spans="1:5" x14ac:dyDescent="0.2">
      <c r="A12" s="10">
        <v>6</v>
      </c>
      <c r="B12" s="10" t="s">
        <v>151</v>
      </c>
      <c r="C12" s="10">
        <v>1</v>
      </c>
      <c r="D12" s="61"/>
      <c r="E12" s="10" t="str" cm="1">
        <f t="array" ref="E12">GetColorJSON(D12)</f>
        <v>{"r":1,"g":1,"b":0,"a":1}</v>
      </c>
    </row>
    <row r="13" spans="1:5" x14ac:dyDescent="0.2">
      <c r="A13" s="10">
        <v>7</v>
      </c>
      <c r="B13" s="10" t="s">
        <v>152</v>
      </c>
      <c r="C13" s="10">
        <v>0</v>
      </c>
      <c r="D13" s="62"/>
      <c r="E13" s="10" t="str" cm="1">
        <f t="array" ref="E13">GetColorJSON(D13)</f>
        <v>{"r":0.855,"g":0.588,"b":0.58,"a":1}</v>
      </c>
    </row>
    <row r="14" spans="1:5" x14ac:dyDescent="0.2">
      <c r="A14" s="9" t="s">
        <v>31</v>
      </c>
      <c r="B14" s="9"/>
      <c r="C14" s="9"/>
      <c r="D14" s="9"/>
      <c r="E14" s="9"/>
    </row>
    <row r="18" spans="1:1" x14ac:dyDescent="0.2">
      <c r="A18" s="59" t="s">
        <v>122</v>
      </c>
    </row>
    <row r="19" spans="1:1" x14ac:dyDescent="0.2">
      <c r="A19" s="22" t="s">
        <v>286</v>
      </c>
    </row>
  </sheetData>
  <phoneticPr fontId="1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4" tint="-0.249977111117893"/>
  </sheetPr>
  <dimension ref="A3:D22"/>
  <sheetViews>
    <sheetView workbookViewId="0">
      <selection activeCell="A23" sqref="A23"/>
    </sheetView>
  </sheetViews>
  <sheetFormatPr defaultColWidth="9" defaultRowHeight="13" x14ac:dyDescent="0.2"/>
  <cols>
    <col min="1" max="1" width="10.90625" style="22" customWidth="1"/>
    <col min="2" max="2" width="21.90625" style="22" bestFit="1" customWidth="1"/>
    <col min="3" max="4" width="13.36328125" style="22" bestFit="1" customWidth="1"/>
    <col min="5" max="16384" width="9" style="23"/>
  </cols>
  <sheetData>
    <row r="3" spans="1:4" x14ac:dyDescent="0.2">
      <c r="A3" s="9" t="s">
        <v>29</v>
      </c>
      <c r="B3" s="9"/>
      <c r="C3" s="9"/>
      <c r="D3" s="9"/>
    </row>
    <row r="4" spans="1:4" x14ac:dyDescent="0.2">
      <c r="A4" s="11" t="s">
        <v>30</v>
      </c>
      <c r="B4" s="11" t="s">
        <v>35</v>
      </c>
      <c r="C4" s="11" t="s">
        <v>134</v>
      </c>
      <c r="D4" s="11" t="s">
        <v>135</v>
      </c>
    </row>
    <row r="5" spans="1:4" x14ac:dyDescent="0.2">
      <c r="A5" s="12" t="s">
        <v>51</v>
      </c>
      <c r="B5" s="12" t="s">
        <v>52</v>
      </c>
      <c r="C5" s="12" t="s">
        <v>215</v>
      </c>
      <c r="D5" s="12" t="s">
        <v>216</v>
      </c>
    </row>
    <row r="6" spans="1:4" x14ac:dyDescent="0.2">
      <c r="A6" s="10">
        <v>1</v>
      </c>
      <c r="B6" s="10" t="s">
        <v>125</v>
      </c>
      <c r="C6" s="10">
        <v>99</v>
      </c>
      <c r="D6" s="10">
        <v>99</v>
      </c>
    </row>
    <row r="7" spans="1:4" x14ac:dyDescent="0.2">
      <c r="A7" s="10">
        <v>2</v>
      </c>
      <c r="B7" s="10" t="s">
        <v>126</v>
      </c>
      <c r="C7" s="10">
        <v>99</v>
      </c>
      <c r="D7" s="10">
        <v>99</v>
      </c>
    </row>
    <row r="8" spans="1:4" x14ac:dyDescent="0.2">
      <c r="A8" s="10">
        <v>3</v>
      </c>
      <c r="B8" s="10" t="s">
        <v>127</v>
      </c>
      <c r="C8" s="10">
        <v>1</v>
      </c>
      <c r="D8" s="10">
        <v>3</v>
      </c>
    </row>
    <row r="9" spans="1:4" x14ac:dyDescent="0.2">
      <c r="A9" s="10">
        <v>4</v>
      </c>
      <c r="B9" s="10" t="s">
        <v>128</v>
      </c>
      <c r="C9" s="10">
        <v>1</v>
      </c>
      <c r="D9" s="10">
        <v>3</v>
      </c>
    </row>
    <row r="10" spans="1:4" x14ac:dyDescent="0.2">
      <c r="A10" s="10">
        <v>5</v>
      </c>
      <c r="B10" s="10" t="s">
        <v>130</v>
      </c>
      <c r="C10" s="10">
        <v>1</v>
      </c>
      <c r="D10" s="10">
        <v>3</v>
      </c>
    </row>
    <row r="11" spans="1:4" x14ac:dyDescent="0.2">
      <c r="A11" s="10">
        <v>6</v>
      </c>
      <c r="B11" s="10" t="s">
        <v>131</v>
      </c>
      <c r="C11" s="10">
        <v>1</v>
      </c>
      <c r="D11" s="10">
        <v>4</v>
      </c>
    </row>
    <row r="12" spans="1:4" x14ac:dyDescent="0.2">
      <c r="A12" s="10">
        <v>7</v>
      </c>
      <c r="B12" s="10" t="s">
        <v>132</v>
      </c>
      <c r="C12" s="10">
        <v>1</v>
      </c>
      <c r="D12" s="10">
        <v>5</v>
      </c>
    </row>
    <row r="13" spans="1:4" x14ac:dyDescent="0.2">
      <c r="A13" s="10">
        <v>8</v>
      </c>
      <c r="B13" s="10" t="s">
        <v>201</v>
      </c>
      <c r="C13" s="10">
        <v>99</v>
      </c>
      <c r="D13" s="10">
        <v>99</v>
      </c>
    </row>
    <row r="14" spans="1:4" x14ac:dyDescent="0.2">
      <c r="A14" s="10">
        <v>9</v>
      </c>
      <c r="B14" s="10" t="s">
        <v>257</v>
      </c>
      <c r="C14" s="10">
        <v>99</v>
      </c>
      <c r="D14" s="10">
        <v>99</v>
      </c>
    </row>
    <row r="15" spans="1:4" x14ac:dyDescent="0.2">
      <c r="A15" s="10">
        <v>10</v>
      </c>
      <c r="B15" s="10" t="s">
        <v>267</v>
      </c>
      <c r="C15" s="10">
        <v>1</v>
      </c>
      <c r="D15" s="10">
        <v>6</v>
      </c>
    </row>
    <row r="16" spans="1:4" x14ac:dyDescent="0.2">
      <c r="A16" s="9" t="s">
        <v>31</v>
      </c>
      <c r="B16" s="9"/>
      <c r="C16" s="9"/>
      <c r="D16" s="9"/>
    </row>
    <row r="21" spans="1:1" x14ac:dyDescent="0.2">
      <c r="A21" s="59" t="s">
        <v>122</v>
      </c>
    </row>
    <row r="22" spans="1:1" x14ac:dyDescent="0.2">
      <c r="A22" s="22" t="s">
        <v>286</v>
      </c>
    </row>
  </sheetData>
  <phoneticPr fontId="1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57CAD-7385-4275-8384-C8AAA953F1EB}">
  <sheetPr codeName="Sheet6">
    <tabColor theme="4" tint="-0.249977111117893"/>
  </sheetPr>
  <dimension ref="A3:D62"/>
  <sheetViews>
    <sheetView topLeftCell="A10" workbookViewId="0">
      <selection activeCell="D26" sqref="D26"/>
    </sheetView>
  </sheetViews>
  <sheetFormatPr defaultColWidth="9" defaultRowHeight="13" x14ac:dyDescent="0.2"/>
  <cols>
    <col min="1" max="1" width="10.90625" style="22" customWidth="1"/>
    <col min="2" max="2" width="21.90625" style="22" bestFit="1" customWidth="1"/>
    <col min="3" max="3" width="17.26953125" style="22" bestFit="1" customWidth="1"/>
    <col min="4" max="4" width="18.26953125" style="22" bestFit="1" customWidth="1"/>
    <col min="5" max="16384" width="9" style="23"/>
  </cols>
  <sheetData>
    <row r="3" spans="1:4" x14ac:dyDescent="0.2">
      <c r="A3" s="9" t="s">
        <v>29</v>
      </c>
      <c r="B3" s="9"/>
      <c r="C3" s="9"/>
      <c r="D3" s="9"/>
    </row>
    <row r="4" spans="1:4" x14ac:dyDescent="0.2">
      <c r="A4" s="11" t="s">
        <v>30</v>
      </c>
      <c r="B4" s="60" t="s">
        <v>35</v>
      </c>
      <c r="C4" s="11" t="s">
        <v>124</v>
      </c>
      <c r="D4" s="11" t="s">
        <v>99</v>
      </c>
    </row>
    <row r="5" spans="1:4" x14ac:dyDescent="0.2">
      <c r="A5" s="12" t="s">
        <v>51</v>
      </c>
      <c r="B5" s="12" t="s">
        <v>52</v>
      </c>
      <c r="C5" s="12" t="s">
        <v>133</v>
      </c>
      <c r="D5" s="12" t="s">
        <v>153</v>
      </c>
    </row>
    <row r="6" spans="1:4" x14ac:dyDescent="0.2">
      <c r="A6" s="10">
        <f>_xlfn.XLOOKUP(B6, ノード!B:B, ノード!A:A, "")</f>
        <v>4</v>
      </c>
      <c r="B6" s="10" t="s">
        <v>128</v>
      </c>
      <c r="C6" s="10">
        <v>1</v>
      </c>
      <c r="D6" s="10">
        <v>10</v>
      </c>
    </row>
    <row r="7" spans="1:4" x14ac:dyDescent="0.2">
      <c r="A7" s="10">
        <f>_xlfn.XLOOKUP(B7, ノード!B:B, ノード!A:A, "")</f>
        <v>4</v>
      </c>
      <c r="B7" s="10" t="s">
        <v>128</v>
      </c>
      <c r="C7" s="10">
        <v>2</v>
      </c>
      <c r="D7" s="10">
        <f>INT(D6*2.5)</f>
        <v>25</v>
      </c>
    </row>
    <row r="8" spans="1:4" x14ac:dyDescent="0.2">
      <c r="A8" s="10">
        <f>_xlfn.XLOOKUP(B8, ノード!B:B, ノード!A:A, "")</f>
        <v>4</v>
      </c>
      <c r="B8" s="10" t="s">
        <v>128</v>
      </c>
      <c r="C8" s="10">
        <v>3</v>
      </c>
      <c r="D8" s="10">
        <f t="shared" ref="D8:D15" si="0">INT(D7*2.5)</f>
        <v>62</v>
      </c>
    </row>
    <row r="9" spans="1:4" x14ac:dyDescent="0.2">
      <c r="A9" s="10">
        <f>_xlfn.XLOOKUP(B9, ノード!B:B, ノード!A:A, "")</f>
        <v>4</v>
      </c>
      <c r="B9" s="10" t="s">
        <v>128</v>
      </c>
      <c r="C9" s="10">
        <v>4</v>
      </c>
      <c r="D9" s="10">
        <f t="shared" si="0"/>
        <v>155</v>
      </c>
    </row>
    <row r="10" spans="1:4" x14ac:dyDescent="0.2">
      <c r="A10" s="10">
        <f>_xlfn.XLOOKUP(B10, ノード!B:B, ノード!A:A, "")</f>
        <v>4</v>
      </c>
      <c r="B10" s="10" t="s">
        <v>128</v>
      </c>
      <c r="C10" s="10">
        <v>5</v>
      </c>
      <c r="D10" s="10">
        <f t="shared" si="0"/>
        <v>387</v>
      </c>
    </row>
    <row r="11" spans="1:4" x14ac:dyDescent="0.2">
      <c r="A11" s="10">
        <f>_xlfn.XLOOKUP(B11, ノード!B:B, ノード!A:A, "")</f>
        <v>4</v>
      </c>
      <c r="B11" s="10" t="s">
        <v>128</v>
      </c>
      <c r="C11" s="10">
        <v>6</v>
      </c>
      <c r="D11" s="10">
        <f t="shared" si="0"/>
        <v>967</v>
      </c>
    </row>
    <row r="12" spans="1:4" x14ac:dyDescent="0.2">
      <c r="A12" s="10">
        <f>_xlfn.XLOOKUP(B12, ノード!B:B, ノード!A:A, "")</f>
        <v>4</v>
      </c>
      <c r="B12" s="10" t="s">
        <v>128</v>
      </c>
      <c r="C12" s="10">
        <v>7</v>
      </c>
      <c r="D12" s="10">
        <f t="shared" si="0"/>
        <v>2417</v>
      </c>
    </row>
    <row r="13" spans="1:4" x14ac:dyDescent="0.2">
      <c r="A13" s="10">
        <f>_xlfn.XLOOKUP(B13, ノード!B:B, ノード!A:A, "")</f>
        <v>4</v>
      </c>
      <c r="B13" s="10" t="s">
        <v>128</v>
      </c>
      <c r="C13" s="10">
        <v>8</v>
      </c>
      <c r="D13" s="10">
        <f t="shared" si="0"/>
        <v>6042</v>
      </c>
    </row>
    <row r="14" spans="1:4" x14ac:dyDescent="0.2">
      <c r="A14" s="10">
        <f>_xlfn.XLOOKUP(B14, ノード!B:B, ノード!A:A, "")</f>
        <v>4</v>
      </c>
      <c r="B14" s="10" t="s">
        <v>128</v>
      </c>
      <c r="C14" s="10">
        <v>9</v>
      </c>
      <c r="D14" s="10">
        <f t="shared" si="0"/>
        <v>15105</v>
      </c>
    </row>
    <row r="15" spans="1:4" x14ac:dyDescent="0.2">
      <c r="A15" s="10">
        <f>_xlfn.XLOOKUP(B15, ノード!B:B, ノード!A:A, "")</f>
        <v>4</v>
      </c>
      <c r="B15" s="10" t="s">
        <v>128</v>
      </c>
      <c r="C15" s="10">
        <v>10</v>
      </c>
      <c r="D15" s="10">
        <f t="shared" si="0"/>
        <v>37762</v>
      </c>
    </row>
    <row r="16" spans="1:4" x14ac:dyDescent="0.2">
      <c r="A16" s="10">
        <f>_xlfn.XLOOKUP(B16, ノード!B:B, ノード!A:A, "")</f>
        <v>3</v>
      </c>
      <c r="B16" s="10" t="s">
        <v>127</v>
      </c>
      <c r="C16" s="10">
        <v>1</v>
      </c>
      <c r="D16" s="10">
        <v>20</v>
      </c>
    </row>
    <row r="17" spans="1:4" x14ac:dyDescent="0.2">
      <c r="A17" s="10">
        <f>_xlfn.XLOOKUP(B17, ノード!B:B, ノード!A:A, "")</f>
        <v>3</v>
      </c>
      <c r="B17" s="10" t="s">
        <v>127</v>
      </c>
      <c r="C17" s="10">
        <v>2</v>
      </c>
      <c r="D17" s="10">
        <f>D16*2</f>
        <v>40</v>
      </c>
    </row>
    <row r="18" spans="1:4" x14ac:dyDescent="0.2">
      <c r="A18" s="10">
        <f>_xlfn.XLOOKUP(B18, ノード!B:B, ノード!A:A, "")</f>
        <v>3</v>
      </c>
      <c r="B18" s="10" t="s">
        <v>127</v>
      </c>
      <c r="C18" s="10">
        <v>3</v>
      </c>
      <c r="D18" s="10">
        <f t="shared" ref="D18:D25" si="1">D17*2</f>
        <v>80</v>
      </c>
    </row>
    <row r="19" spans="1:4" x14ac:dyDescent="0.2">
      <c r="A19" s="10">
        <f>_xlfn.XLOOKUP(B19, ノード!B:B, ノード!A:A, "")</f>
        <v>3</v>
      </c>
      <c r="B19" s="10" t="s">
        <v>127</v>
      </c>
      <c r="C19" s="10">
        <v>4</v>
      </c>
      <c r="D19" s="10">
        <f t="shared" si="1"/>
        <v>160</v>
      </c>
    </row>
    <row r="20" spans="1:4" x14ac:dyDescent="0.2">
      <c r="A20" s="10">
        <f>_xlfn.XLOOKUP(B20, ノード!B:B, ノード!A:A, "")</f>
        <v>3</v>
      </c>
      <c r="B20" s="10" t="s">
        <v>127</v>
      </c>
      <c r="C20" s="10">
        <v>5</v>
      </c>
      <c r="D20" s="10">
        <f t="shared" si="1"/>
        <v>320</v>
      </c>
    </row>
    <row r="21" spans="1:4" x14ac:dyDescent="0.2">
      <c r="A21" s="10">
        <f>_xlfn.XLOOKUP(B21, ノード!B:B, ノード!A:A, "")</f>
        <v>3</v>
      </c>
      <c r="B21" s="10" t="s">
        <v>127</v>
      </c>
      <c r="C21" s="10">
        <v>6</v>
      </c>
      <c r="D21" s="10">
        <f t="shared" si="1"/>
        <v>640</v>
      </c>
    </row>
    <row r="22" spans="1:4" x14ac:dyDescent="0.2">
      <c r="A22" s="10">
        <f>_xlfn.XLOOKUP(B22, ノード!B:B, ノード!A:A, "")</f>
        <v>3</v>
      </c>
      <c r="B22" s="10" t="s">
        <v>127</v>
      </c>
      <c r="C22" s="10">
        <v>7</v>
      </c>
      <c r="D22" s="10">
        <f t="shared" si="1"/>
        <v>1280</v>
      </c>
    </row>
    <row r="23" spans="1:4" x14ac:dyDescent="0.2">
      <c r="A23" s="10">
        <f>_xlfn.XLOOKUP(B23, ノード!B:B, ノード!A:A, "")</f>
        <v>3</v>
      </c>
      <c r="B23" s="10" t="s">
        <v>127</v>
      </c>
      <c r="C23" s="10">
        <v>8</v>
      </c>
      <c r="D23" s="10">
        <f t="shared" si="1"/>
        <v>2560</v>
      </c>
    </row>
    <row r="24" spans="1:4" x14ac:dyDescent="0.2">
      <c r="A24" s="10">
        <f>_xlfn.XLOOKUP(B24, ノード!B:B, ノード!A:A, "")</f>
        <v>3</v>
      </c>
      <c r="B24" s="10" t="s">
        <v>127</v>
      </c>
      <c r="C24" s="10">
        <v>9</v>
      </c>
      <c r="D24" s="10">
        <f t="shared" si="1"/>
        <v>5120</v>
      </c>
    </row>
    <row r="25" spans="1:4" x14ac:dyDescent="0.2">
      <c r="A25" s="10">
        <f>_xlfn.XLOOKUP(B25, ノード!B:B, ノード!A:A, "")</f>
        <v>3</v>
      </c>
      <c r="B25" s="10" t="s">
        <v>127</v>
      </c>
      <c r="C25" s="10">
        <v>10</v>
      </c>
      <c r="D25" s="10">
        <f t="shared" si="1"/>
        <v>10240</v>
      </c>
    </row>
    <row r="26" spans="1:4" x14ac:dyDescent="0.2">
      <c r="A26" s="10">
        <f>_xlfn.XLOOKUP(B26, ノード!B:B, ノード!A:A, "")</f>
        <v>5</v>
      </c>
      <c r="B26" s="10" t="s">
        <v>129</v>
      </c>
      <c r="C26" s="10">
        <v>1</v>
      </c>
      <c r="D26" s="10">
        <v>0</v>
      </c>
    </row>
    <row r="27" spans="1:4" x14ac:dyDescent="0.2">
      <c r="A27" s="10">
        <f>_xlfn.XLOOKUP(B27, ノード!B:B, ノード!A:A, "")</f>
        <v>6</v>
      </c>
      <c r="B27" s="10" t="s">
        <v>131</v>
      </c>
      <c r="C27" s="10">
        <v>1</v>
      </c>
      <c r="D27" s="10">
        <v>10</v>
      </c>
    </row>
    <row r="28" spans="1:4" x14ac:dyDescent="0.2">
      <c r="A28" s="10">
        <f>_xlfn.XLOOKUP(B28, ノード!B:B, ノード!A:A, "")</f>
        <v>6</v>
      </c>
      <c r="B28" s="10" t="s">
        <v>131</v>
      </c>
      <c r="C28" s="10">
        <v>2</v>
      </c>
      <c r="D28" s="10">
        <f>INT(D27*1.5)</f>
        <v>15</v>
      </c>
    </row>
    <row r="29" spans="1:4" x14ac:dyDescent="0.2">
      <c r="A29" s="10">
        <f>_xlfn.XLOOKUP(B29, ノード!B:B, ノード!A:A, "")</f>
        <v>6</v>
      </c>
      <c r="B29" s="10" t="s">
        <v>131</v>
      </c>
      <c r="C29" s="10">
        <v>3</v>
      </c>
      <c r="D29" s="10">
        <f t="shared" ref="D29:D35" si="2">INT(D28*1.5)</f>
        <v>22</v>
      </c>
    </row>
    <row r="30" spans="1:4" x14ac:dyDescent="0.2">
      <c r="A30" s="10">
        <f>_xlfn.XLOOKUP(B30, ノード!B:B, ノード!A:A, "")</f>
        <v>6</v>
      </c>
      <c r="B30" s="10" t="s">
        <v>131</v>
      </c>
      <c r="C30" s="10">
        <v>4</v>
      </c>
      <c r="D30" s="10">
        <f t="shared" si="2"/>
        <v>33</v>
      </c>
    </row>
    <row r="31" spans="1:4" x14ac:dyDescent="0.2">
      <c r="A31" s="10">
        <f>_xlfn.XLOOKUP(B31, ノード!B:B, ノード!A:A, "")</f>
        <v>6</v>
      </c>
      <c r="B31" s="10" t="s">
        <v>131</v>
      </c>
      <c r="C31" s="10">
        <v>5</v>
      </c>
      <c r="D31" s="10">
        <f t="shared" si="2"/>
        <v>49</v>
      </c>
    </row>
    <row r="32" spans="1:4" x14ac:dyDescent="0.2">
      <c r="A32" s="10">
        <f>_xlfn.XLOOKUP(B32, ノード!B:B, ノード!A:A, "")</f>
        <v>6</v>
      </c>
      <c r="B32" s="10" t="s">
        <v>131</v>
      </c>
      <c r="C32" s="10">
        <v>6</v>
      </c>
      <c r="D32" s="10">
        <f t="shared" si="2"/>
        <v>73</v>
      </c>
    </row>
    <row r="33" spans="1:4" x14ac:dyDescent="0.2">
      <c r="A33" s="10">
        <f>_xlfn.XLOOKUP(B33, ノード!B:B, ノード!A:A, "")</f>
        <v>6</v>
      </c>
      <c r="B33" s="10" t="s">
        <v>131</v>
      </c>
      <c r="C33" s="10">
        <v>7</v>
      </c>
      <c r="D33" s="10">
        <f t="shared" si="2"/>
        <v>109</v>
      </c>
    </row>
    <row r="34" spans="1:4" x14ac:dyDescent="0.2">
      <c r="A34" s="10">
        <f>_xlfn.XLOOKUP(B34, ノード!B:B, ノード!A:A, "")</f>
        <v>6</v>
      </c>
      <c r="B34" s="10" t="s">
        <v>131</v>
      </c>
      <c r="C34" s="10">
        <v>8</v>
      </c>
      <c r="D34" s="10">
        <f t="shared" si="2"/>
        <v>163</v>
      </c>
    </row>
    <row r="35" spans="1:4" x14ac:dyDescent="0.2">
      <c r="A35" s="10">
        <f>_xlfn.XLOOKUP(B35, ノード!B:B, ノード!A:A, "")</f>
        <v>6</v>
      </c>
      <c r="B35" s="10" t="s">
        <v>131</v>
      </c>
      <c r="C35" s="10">
        <v>9</v>
      </c>
      <c r="D35" s="10">
        <f t="shared" si="2"/>
        <v>244</v>
      </c>
    </row>
    <row r="36" spans="1:4" x14ac:dyDescent="0.2">
      <c r="A36" s="10">
        <f>_xlfn.XLOOKUP(B36, ノード!B:B, ノード!A:A, "")</f>
        <v>7</v>
      </c>
      <c r="B36" s="10" t="s">
        <v>132</v>
      </c>
      <c r="C36" s="10">
        <v>1</v>
      </c>
      <c r="D36" s="10">
        <v>10</v>
      </c>
    </row>
    <row r="37" spans="1:4" x14ac:dyDescent="0.2">
      <c r="A37" s="10">
        <f>_xlfn.XLOOKUP(B37, ノード!B:B, ノード!A:A, "")</f>
        <v>7</v>
      </c>
      <c r="B37" s="10" t="s">
        <v>132</v>
      </c>
      <c r="C37" s="10">
        <v>2</v>
      </c>
      <c r="D37" s="10">
        <f>INT(D36*2)</f>
        <v>20</v>
      </c>
    </row>
    <row r="38" spans="1:4" x14ac:dyDescent="0.2">
      <c r="A38" s="10">
        <f>_xlfn.XLOOKUP(B38, ノード!B:B, ノード!A:A, "")</f>
        <v>7</v>
      </c>
      <c r="B38" s="10" t="s">
        <v>132</v>
      </c>
      <c r="C38" s="10">
        <v>3</v>
      </c>
      <c r="D38" s="10">
        <f t="shared" ref="D38:D45" si="3">INT(D37*2)</f>
        <v>40</v>
      </c>
    </row>
    <row r="39" spans="1:4" x14ac:dyDescent="0.2">
      <c r="A39" s="10">
        <f>_xlfn.XLOOKUP(B39, ノード!B:B, ノード!A:A, "")</f>
        <v>7</v>
      </c>
      <c r="B39" s="10" t="s">
        <v>132</v>
      </c>
      <c r="C39" s="10">
        <v>4</v>
      </c>
      <c r="D39" s="10">
        <f t="shared" si="3"/>
        <v>80</v>
      </c>
    </row>
    <row r="40" spans="1:4" x14ac:dyDescent="0.2">
      <c r="A40" s="10">
        <f>_xlfn.XLOOKUP(B40, ノード!B:B, ノード!A:A, "")</f>
        <v>7</v>
      </c>
      <c r="B40" s="10" t="s">
        <v>132</v>
      </c>
      <c r="C40" s="10">
        <v>5</v>
      </c>
      <c r="D40" s="10">
        <f t="shared" si="3"/>
        <v>160</v>
      </c>
    </row>
    <row r="41" spans="1:4" x14ac:dyDescent="0.2">
      <c r="A41" s="10">
        <f>_xlfn.XLOOKUP(B41, ノード!B:B, ノード!A:A, "")</f>
        <v>7</v>
      </c>
      <c r="B41" s="10" t="s">
        <v>132</v>
      </c>
      <c r="C41" s="10">
        <v>6</v>
      </c>
      <c r="D41" s="10">
        <f t="shared" si="3"/>
        <v>320</v>
      </c>
    </row>
    <row r="42" spans="1:4" x14ac:dyDescent="0.2">
      <c r="A42" s="10">
        <f>_xlfn.XLOOKUP(B42, ノード!B:B, ノード!A:A, "")</f>
        <v>7</v>
      </c>
      <c r="B42" s="10" t="s">
        <v>132</v>
      </c>
      <c r="C42" s="10">
        <v>7</v>
      </c>
      <c r="D42" s="10">
        <f t="shared" si="3"/>
        <v>640</v>
      </c>
    </row>
    <row r="43" spans="1:4" x14ac:dyDescent="0.2">
      <c r="A43" s="10">
        <f>_xlfn.XLOOKUP(B43, ノード!B:B, ノード!A:A, "")</f>
        <v>7</v>
      </c>
      <c r="B43" s="10" t="s">
        <v>132</v>
      </c>
      <c r="C43" s="10">
        <v>8</v>
      </c>
      <c r="D43" s="10">
        <f t="shared" si="3"/>
        <v>1280</v>
      </c>
    </row>
    <row r="44" spans="1:4" x14ac:dyDescent="0.2">
      <c r="A44" s="10">
        <f>_xlfn.XLOOKUP(B44, ノード!B:B, ノード!A:A, "")</f>
        <v>7</v>
      </c>
      <c r="B44" s="10" t="s">
        <v>132</v>
      </c>
      <c r="C44" s="10">
        <v>9</v>
      </c>
      <c r="D44" s="10">
        <f t="shared" si="3"/>
        <v>2560</v>
      </c>
    </row>
    <row r="45" spans="1:4" x14ac:dyDescent="0.2">
      <c r="A45" s="10">
        <f>_xlfn.XLOOKUP(B45, ノード!B:B, ノード!A:A, "")</f>
        <v>7</v>
      </c>
      <c r="B45" s="10" t="s">
        <v>132</v>
      </c>
      <c r="C45" s="10">
        <v>10</v>
      </c>
      <c r="D45" s="10">
        <f t="shared" si="3"/>
        <v>5120</v>
      </c>
    </row>
    <row r="46" spans="1:4" x14ac:dyDescent="0.2">
      <c r="A46" s="10">
        <f>_xlfn.XLOOKUP(B46, ノード!B:B, ノード!A:A, "")</f>
        <v>10</v>
      </c>
      <c r="B46" s="10" t="s">
        <v>267</v>
      </c>
      <c r="C46" s="10">
        <v>1</v>
      </c>
      <c r="D46" s="10">
        <v>10</v>
      </c>
    </row>
    <row r="47" spans="1:4" x14ac:dyDescent="0.2">
      <c r="A47" s="10">
        <f>_xlfn.XLOOKUP(B47, ノード!B:B, ノード!A:A, "")</f>
        <v>10</v>
      </c>
      <c r="B47" s="10" t="s">
        <v>267</v>
      </c>
      <c r="C47" s="10">
        <v>2</v>
      </c>
      <c r="D47" s="10">
        <f>INT(D46*2)</f>
        <v>20</v>
      </c>
    </row>
    <row r="48" spans="1:4" x14ac:dyDescent="0.2">
      <c r="A48" s="10">
        <f>_xlfn.XLOOKUP(B48, ノード!B:B, ノード!A:A, "")</f>
        <v>10</v>
      </c>
      <c r="B48" s="10" t="s">
        <v>267</v>
      </c>
      <c r="C48" s="10">
        <v>3</v>
      </c>
      <c r="D48" s="10">
        <f t="shared" ref="D48:D55" si="4">INT(D47*2)</f>
        <v>40</v>
      </c>
    </row>
    <row r="49" spans="1:4" x14ac:dyDescent="0.2">
      <c r="A49" s="10">
        <f>_xlfn.XLOOKUP(B49, ノード!B:B, ノード!A:A, "")</f>
        <v>10</v>
      </c>
      <c r="B49" s="10" t="s">
        <v>267</v>
      </c>
      <c r="C49" s="10">
        <v>4</v>
      </c>
      <c r="D49" s="10">
        <f t="shared" si="4"/>
        <v>80</v>
      </c>
    </row>
    <row r="50" spans="1:4" x14ac:dyDescent="0.2">
      <c r="A50" s="10">
        <f>_xlfn.XLOOKUP(B50, ノード!B:B, ノード!A:A, "")</f>
        <v>10</v>
      </c>
      <c r="B50" s="10" t="s">
        <v>267</v>
      </c>
      <c r="C50" s="10">
        <v>5</v>
      </c>
      <c r="D50" s="10">
        <f t="shared" si="4"/>
        <v>160</v>
      </c>
    </row>
    <row r="51" spans="1:4" x14ac:dyDescent="0.2">
      <c r="A51" s="10">
        <f>_xlfn.XLOOKUP(B51, ノード!B:B, ノード!A:A, "")</f>
        <v>10</v>
      </c>
      <c r="B51" s="10" t="s">
        <v>267</v>
      </c>
      <c r="C51" s="10">
        <v>6</v>
      </c>
      <c r="D51" s="10">
        <f t="shared" si="4"/>
        <v>320</v>
      </c>
    </row>
    <row r="52" spans="1:4" x14ac:dyDescent="0.2">
      <c r="A52" s="10">
        <f>_xlfn.XLOOKUP(B52, ノード!B:B, ノード!A:A, "")</f>
        <v>10</v>
      </c>
      <c r="B52" s="10" t="s">
        <v>267</v>
      </c>
      <c r="C52" s="10">
        <v>7</v>
      </c>
      <c r="D52" s="10">
        <f t="shared" si="4"/>
        <v>640</v>
      </c>
    </row>
    <row r="53" spans="1:4" x14ac:dyDescent="0.2">
      <c r="A53" s="10">
        <f>_xlfn.XLOOKUP(B53, ノード!B:B, ノード!A:A, "")</f>
        <v>10</v>
      </c>
      <c r="B53" s="10" t="s">
        <v>267</v>
      </c>
      <c r="C53" s="10">
        <v>8</v>
      </c>
      <c r="D53" s="10">
        <f t="shared" si="4"/>
        <v>1280</v>
      </c>
    </row>
    <row r="54" spans="1:4" x14ac:dyDescent="0.2">
      <c r="A54" s="10">
        <f>_xlfn.XLOOKUP(B54, ノード!B:B, ノード!A:A, "")</f>
        <v>10</v>
      </c>
      <c r="B54" s="10" t="s">
        <v>267</v>
      </c>
      <c r="C54" s="10">
        <v>9</v>
      </c>
      <c r="D54" s="10">
        <f t="shared" si="4"/>
        <v>2560</v>
      </c>
    </row>
    <row r="55" spans="1:4" x14ac:dyDescent="0.2">
      <c r="A55" s="10">
        <f>_xlfn.XLOOKUP(B55, ノード!B:B, ノード!A:A, "")</f>
        <v>10</v>
      </c>
      <c r="B55" s="10" t="s">
        <v>267</v>
      </c>
      <c r="C55" s="10">
        <v>10</v>
      </c>
      <c r="D55" s="10">
        <f t="shared" si="4"/>
        <v>5120</v>
      </c>
    </row>
    <row r="56" spans="1:4" x14ac:dyDescent="0.2">
      <c r="A56" s="9" t="s">
        <v>31</v>
      </c>
      <c r="B56" s="9"/>
      <c r="C56" s="9"/>
      <c r="D56" s="9"/>
    </row>
    <row r="61" spans="1:4" x14ac:dyDescent="0.2">
      <c r="A61" s="59" t="s">
        <v>122</v>
      </c>
    </row>
    <row r="62" spans="1:4" x14ac:dyDescent="0.2">
      <c r="A62" s="22" t="s">
        <v>123</v>
      </c>
    </row>
  </sheetData>
  <phoneticPr fontId="11"/>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63B7A66-BC4D-4DFC-BDA4-A357B68D2949}">
          <x14:formula1>
            <xm:f>ノード!$B$6:$B$210</xm:f>
          </x14:formula1>
          <xm:sqref>B6:B55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AAA907-935A-4D9B-BD4C-E47086DF4532}">
  <sheetPr codeName="Sheet7">
    <tabColor theme="4" tint="-0.249977111117893"/>
  </sheetPr>
  <dimension ref="A3:S70"/>
  <sheetViews>
    <sheetView topLeftCell="A13" workbookViewId="0">
      <selection activeCell="F52" sqref="A51:F52"/>
    </sheetView>
  </sheetViews>
  <sheetFormatPr defaultColWidth="9" defaultRowHeight="13" x14ac:dyDescent="0.2"/>
  <cols>
    <col min="1" max="1" width="10.90625" style="22" customWidth="1"/>
    <col min="2" max="2" width="21.90625" style="22" bestFit="1" customWidth="1"/>
    <col min="3" max="4" width="9.453125" style="22" bestFit="1" customWidth="1"/>
    <col min="5" max="14" width="6.90625" style="22" customWidth="1"/>
    <col min="15" max="15" width="12.08984375" style="22" customWidth="1"/>
    <col min="16" max="18" width="12.08984375" style="23" customWidth="1"/>
    <col min="19" max="16384" width="9" style="23"/>
  </cols>
  <sheetData>
    <row r="3" spans="1:19" x14ac:dyDescent="0.2">
      <c r="A3" s="9" t="s">
        <v>29</v>
      </c>
      <c r="B3" s="9"/>
      <c r="C3" s="9"/>
      <c r="D3" s="9"/>
      <c r="E3" s="9"/>
      <c r="F3" s="9"/>
      <c r="G3" s="9"/>
      <c r="H3" s="9"/>
      <c r="I3" s="9"/>
      <c r="J3" s="9"/>
      <c r="K3" s="9"/>
      <c r="L3" s="9"/>
      <c r="M3" s="9"/>
      <c r="N3" s="9"/>
      <c r="O3" s="9"/>
      <c r="P3" s="9"/>
      <c r="Q3" s="9"/>
      <c r="R3" s="9"/>
    </row>
    <row r="4" spans="1:19" x14ac:dyDescent="0.2">
      <c r="A4" s="11" t="s">
        <v>30</v>
      </c>
      <c r="B4" s="60" t="s">
        <v>35</v>
      </c>
      <c r="C4" s="11" t="s">
        <v>136</v>
      </c>
      <c r="D4" s="11" t="s">
        <v>276</v>
      </c>
      <c r="E4" s="30" t="s">
        <v>138</v>
      </c>
      <c r="F4" s="30" t="s">
        <v>139</v>
      </c>
      <c r="G4" s="30" t="s">
        <v>140</v>
      </c>
      <c r="H4" s="30" t="s">
        <v>141</v>
      </c>
      <c r="I4" s="30" t="s">
        <v>142</v>
      </c>
      <c r="J4" s="30" t="s">
        <v>143</v>
      </c>
      <c r="K4" s="30" t="s">
        <v>144</v>
      </c>
      <c r="L4" s="30" t="s">
        <v>145</v>
      </c>
      <c r="M4" s="30" t="s">
        <v>146</v>
      </c>
      <c r="N4" s="30" t="s">
        <v>147</v>
      </c>
      <c r="O4" s="65" t="s">
        <v>53</v>
      </c>
      <c r="P4" s="65" t="s">
        <v>54</v>
      </c>
      <c r="Q4" s="65" t="s">
        <v>65</v>
      </c>
      <c r="R4" s="65" t="s">
        <v>66</v>
      </c>
    </row>
    <row r="5" spans="1:19" x14ac:dyDescent="0.2">
      <c r="A5" s="12" t="s">
        <v>51</v>
      </c>
      <c r="B5" s="12" t="s">
        <v>52</v>
      </c>
      <c r="C5" s="12" t="s">
        <v>137</v>
      </c>
      <c r="D5" s="12" t="s">
        <v>278</v>
      </c>
      <c r="E5" s="12"/>
      <c r="F5" s="12"/>
      <c r="G5" s="12"/>
      <c r="H5" s="12"/>
      <c r="I5" s="12"/>
      <c r="J5" s="12"/>
      <c r="K5" s="12"/>
      <c r="L5" s="12"/>
      <c r="M5" s="12"/>
      <c r="N5" s="12"/>
      <c r="O5" s="24" t="s">
        <v>63</v>
      </c>
      <c r="P5" s="24" t="s">
        <v>148</v>
      </c>
      <c r="Q5" s="24" t="s">
        <v>67</v>
      </c>
      <c r="R5" s="24" t="s">
        <v>149</v>
      </c>
    </row>
    <row r="6" spans="1:19" x14ac:dyDescent="0.2">
      <c r="A6" s="10">
        <f>_xlfn.XLOOKUP(B6, ノード!B:B, ノード!A:A, "")</f>
        <v>1</v>
      </c>
      <c r="B6" s="10" t="s">
        <v>125</v>
      </c>
      <c r="C6" s="10">
        <v>0</v>
      </c>
      <c r="D6" s="10">
        <v>1000</v>
      </c>
      <c r="E6" s="10"/>
      <c r="F6" s="10"/>
      <c r="G6" s="10"/>
      <c r="H6" s="10"/>
      <c r="I6" s="10"/>
      <c r="J6" s="10"/>
      <c r="K6" s="10"/>
      <c r="L6" s="10"/>
      <c r="M6" s="10" t="s">
        <v>55</v>
      </c>
      <c r="N6" s="10">
        <v>4</v>
      </c>
      <c r="O6" s="31" t="str" cm="1">
        <f t="array" ref="O6">_xlfn.LET(_xlpm.search_vals, _xlfn.HSTACK(E6, G6, I6,K6),_xlpm.results, _xlfn.BYCOL(_xlpm.search_vals, _xlfn.LAMBDA(_xlpm.v, _xlfn.XLOOKUP(_xlpm.v, 素材!B:B, 素材!A:A, ""))),"[" &amp; _xlfn.TEXTJOIN(",", TRUE, _xlpm.results) &amp; "]")</f>
        <v>[]</v>
      </c>
      <c r="P6" s="31" t="str" cm="1">
        <f t="array" ref="P6">_xlfn.LET(_xlpm.search_list, _xlfn.HSTACK(E6, G6, I6,K6), _xlpm.output_list, _xlfn.HSTACK(F6, H6, J6,L6), _xlpm.results, _xlfn.MAP(_xlpm.search_list, _xlpm.output_list, _xlfn.LAMBDA(_xlpm.s,_xlpm.o, IF(ISNUMBER(MATCH(_xlpm.s, 素材!B:B, 0)), _xlpm.o, ""))), "[" &amp; _xlfn.TEXTJOIN(",", TRUE, _xlpm.results) &amp; "]")</f>
        <v>[]</v>
      </c>
      <c r="Q6" s="31" t="str" cm="1">
        <f t="array" ref="Q6">_xlfn.LET(_xlpm.search_vals, _xlfn.HSTACK(M6),_xlpm.results, _xlfn.BYCOL(_xlpm.search_vals, _xlfn.LAMBDA(_xlpm.v, _xlfn.XLOOKUP(_xlpm.v, 素材!B:B, 素材!A:A, ""))),"[" &amp; _xlfn.TEXTJOIN(",", TRUE, _xlpm.results) &amp; "]")</f>
        <v>[2]</v>
      </c>
      <c r="R6" s="31" t="str" cm="1">
        <f t="array" ref="R6">_xlfn.LET(_xlpm.search_list, _xlfn.HSTACK(M6), _xlpm.output_list, _xlfn.HSTACK(N6), _xlpm.results, _xlfn.MAP(_xlpm.search_list, _xlpm.output_list, _xlfn.LAMBDA(_xlpm.s,_xlpm.o, IF(ISNUMBER(MATCH(_xlpm.s, 素材!B:B, 0)), _xlpm.o, ""))), "[" &amp; _xlfn.TEXTJOIN(",", TRUE, _xlpm.results) &amp; "]")</f>
        <v>[4]</v>
      </c>
      <c r="S6" s="23" t="str">
        <f>IFERROR(N6/(F6+H6+J6+L6),"-")</f>
        <v>-</v>
      </c>
    </row>
    <row r="7" spans="1:19" x14ac:dyDescent="0.2">
      <c r="A7" s="10">
        <f>_xlfn.XLOOKUP(B7, ノード!B:B, ノード!A:A, "")</f>
        <v>2</v>
      </c>
      <c r="B7" s="10" t="s">
        <v>126</v>
      </c>
      <c r="C7" s="10">
        <v>0</v>
      </c>
      <c r="D7" s="10">
        <v>1000</v>
      </c>
      <c r="E7" s="10"/>
      <c r="F7" s="10"/>
      <c r="G7" s="10"/>
      <c r="H7" s="10"/>
      <c r="I7" s="10"/>
      <c r="J7" s="10"/>
      <c r="K7" s="10"/>
      <c r="L7" s="10"/>
      <c r="M7" s="10" t="s">
        <v>56</v>
      </c>
      <c r="N7" s="10">
        <v>4</v>
      </c>
      <c r="O7" s="31" t="str" cm="1">
        <f t="array" ref="O7">_xlfn.LET(_xlpm.search_vals, _xlfn.HSTACK(E7, G7, I7,K7),_xlpm.results, _xlfn.BYCOL(_xlpm.search_vals, _xlfn.LAMBDA(_xlpm.v, _xlfn.XLOOKUP(_xlpm.v, 素材!B:B, 素材!A:A, ""))),"[" &amp; _xlfn.TEXTJOIN(",", TRUE, _xlpm.results) &amp; "]")</f>
        <v>[]</v>
      </c>
      <c r="P7" s="31" t="str" cm="1">
        <f t="array" ref="P7">_xlfn.LET(_xlpm.search_list, _xlfn.HSTACK(E7, G7, I7,K7), _xlpm.output_list, _xlfn.HSTACK(F7, H7, J7,L7), _xlpm.results, _xlfn.MAP(_xlpm.search_list, _xlpm.output_list, _xlfn.LAMBDA(_xlpm.s,_xlpm.o, IF(ISNUMBER(MATCH(_xlpm.s, 素材!B:B, 0)), _xlpm.o, ""))), "[" &amp; _xlfn.TEXTJOIN(",", TRUE, _xlpm.results) &amp; "]")</f>
        <v>[]</v>
      </c>
      <c r="Q7" s="31" t="str" cm="1">
        <f t="array" ref="Q7">_xlfn.LET(_xlpm.search_vals, _xlfn.HSTACK(M7),_xlpm.results, _xlfn.BYCOL(_xlpm.search_vals, _xlfn.LAMBDA(_xlpm.v, _xlfn.XLOOKUP(_xlpm.v, 素材!B:B, 素材!A:A, ""))),"[" &amp; _xlfn.TEXTJOIN(",", TRUE, _xlpm.results) &amp; "]")</f>
        <v>[3]</v>
      </c>
      <c r="R7" s="31" t="str" cm="1">
        <f t="array" ref="R7">_xlfn.LET(_xlpm.search_list, _xlfn.HSTACK(M7), _xlpm.output_list, _xlfn.HSTACK(N7), _xlpm.results, _xlfn.MAP(_xlpm.search_list, _xlpm.output_list, _xlfn.LAMBDA(_xlpm.s,_xlpm.o, IF(ISNUMBER(MATCH(_xlpm.s, 素材!B:B, 0)), _xlpm.o, ""))), "[" &amp; _xlfn.TEXTJOIN(",", TRUE, _xlpm.results) &amp; "]")</f>
        <v>[4]</v>
      </c>
      <c r="S7" s="23" t="str">
        <f t="shared" ref="S7:S63" si="0">IFERROR(N7/(F7+H7+J7+L7),"-")</f>
        <v>-</v>
      </c>
    </row>
    <row r="8" spans="1:19" x14ac:dyDescent="0.2">
      <c r="A8" s="10">
        <f>_xlfn.XLOOKUP(B8, ノード!B:B, ノード!A:A, "")</f>
        <v>3</v>
      </c>
      <c r="B8" s="10" t="s">
        <v>127</v>
      </c>
      <c r="C8" s="10">
        <v>1</v>
      </c>
      <c r="D8" s="10">
        <v>1000</v>
      </c>
      <c r="E8" s="10" t="s">
        <v>55</v>
      </c>
      <c r="F8" s="10">
        <v>2</v>
      </c>
      <c r="G8" s="10"/>
      <c r="H8" s="10"/>
      <c r="I8" s="10"/>
      <c r="J8" s="10"/>
      <c r="K8" s="10"/>
      <c r="L8" s="10"/>
      <c r="M8" s="10" t="s">
        <v>57</v>
      </c>
      <c r="N8" s="10">
        <v>4</v>
      </c>
      <c r="O8" s="31" t="str" cm="1">
        <f t="array" ref="O8">_xlfn.LET(_xlpm.search_vals, _xlfn.HSTACK(E8, G8, I8,K8),_xlpm.results, _xlfn.BYCOL(_xlpm.search_vals, _xlfn.LAMBDA(_xlpm.v, _xlfn.XLOOKUP(_xlpm.v, 素材!B:B, 素材!A:A, ""))),"[" &amp; _xlfn.TEXTJOIN(",", TRUE, _xlpm.results) &amp; "]")</f>
        <v>[2]</v>
      </c>
      <c r="P8" s="31" t="str" cm="1">
        <f t="array" ref="P8">_xlfn.LET(_xlpm.search_list, _xlfn.HSTACK(E8, G8, I8,K8), _xlpm.output_list, _xlfn.HSTACK(F8, H8, J8,L8), _xlpm.results, _xlfn.MAP(_xlpm.search_list, _xlpm.output_list, _xlfn.LAMBDA(_xlpm.s,_xlpm.o, IF(ISNUMBER(MATCH(_xlpm.s, 素材!B:B, 0)), _xlpm.o, ""))), "[" &amp; _xlfn.TEXTJOIN(",", TRUE, _xlpm.results) &amp; "]")</f>
        <v>[2]</v>
      </c>
      <c r="Q8" s="31" t="str" cm="1">
        <f t="array" ref="Q8">_xlfn.LET(_xlpm.search_vals, _xlfn.HSTACK(M8),_xlpm.results, _xlfn.BYCOL(_xlpm.search_vals, _xlfn.LAMBDA(_xlpm.v, _xlfn.XLOOKUP(_xlpm.v, 素材!B:B, 素材!A:A, ""))),"[" &amp; _xlfn.TEXTJOIN(",", TRUE, _xlpm.results) &amp; "]")</f>
        <v>[4]</v>
      </c>
      <c r="R8" s="31" t="str" cm="1">
        <f t="array" ref="R8">_xlfn.LET(_xlpm.search_list, _xlfn.HSTACK(M8), _xlpm.output_list, _xlfn.HSTACK(N8), _xlpm.results, _xlfn.MAP(_xlpm.search_list, _xlpm.output_list, _xlfn.LAMBDA(_xlpm.s,_xlpm.o, IF(ISNUMBER(MATCH(_xlpm.s, 素材!B:B, 0)), _xlpm.o, ""))), "[" &amp; _xlfn.TEXTJOIN(",", TRUE, _xlpm.results) &amp; "]")</f>
        <v>[4]</v>
      </c>
      <c r="S8" s="23">
        <f t="shared" si="0"/>
        <v>2</v>
      </c>
    </row>
    <row r="9" spans="1:19" x14ac:dyDescent="0.2">
      <c r="A9" s="10">
        <f>_xlfn.XLOOKUP(B9, ノード!B:B, ノード!A:A, "")</f>
        <v>3</v>
      </c>
      <c r="B9" s="10" t="s">
        <v>127</v>
      </c>
      <c r="C9" s="10">
        <v>2</v>
      </c>
      <c r="D9" s="10">
        <v>2000</v>
      </c>
      <c r="E9" s="10" t="s">
        <v>55</v>
      </c>
      <c r="F9" s="10">
        <v>4</v>
      </c>
      <c r="G9" s="10" t="s">
        <v>150</v>
      </c>
      <c r="H9" s="10">
        <v>1</v>
      </c>
      <c r="I9" s="10"/>
      <c r="J9" s="10"/>
      <c r="K9" s="10"/>
      <c r="L9" s="10"/>
      <c r="M9" s="10" t="s">
        <v>57</v>
      </c>
      <c r="N9" s="10">
        <v>10</v>
      </c>
      <c r="O9" s="31" t="str" cm="1">
        <f t="array" ref="O9">_xlfn.LET(_xlpm.search_vals, _xlfn.HSTACK(E9, G9, I9,K9),_xlpm.results, _xlfn.BYCOL(_xlpm.search_vals, _xlfn.LAMBDA(_xlpm.v, _xlfn.XLOOKUP(_xlpm.v, 素材!B:B, 素材!A:A, ""))),"[" &amp; _xlfn.TEXTJOIN(",", TRUE, _xlpm.results) &amp; "]")</f>
        <v>[2,5]</v>
      </c>
      <c r="P9" s="31" t="str" cm="1">
        <f t="array" ref="P9">_xlfn.LET(_xlpm.search_list, _xlfn.HSTACK(E9, G9, I9,K9), _xlpm.output_list, _xlfn.HSTACK(F9, H9, J9,L9), _xlpm.results, _xlfn.MAP(_xlpm.search_list, _xlpm.output_list, _xlfn.LAMBDA(_xlpm.s,_xlpm.o, IF(ISNUMBER(MATCH(_xlpm.s, 素材!B:B, 0)), _xlpm.o, ""))), "[" &amp; _xlfn.TEXTJOIN(",", TRUE, _xlpm.results) &amp; "]")</f>
        <v>[4,1]</v>
      </c>
      <c r="Q9" s="31" t="str" cm="1">
        <f t="array" ref="Q9">_xlfn.LET(_xlpm.search_vals, _xlfn.HSTACK(M9),_xlpm.results, _xlfn.BYCOL(_xlpm.search_vals, _xlfn.LAMBDA(_xlpm.v, _xlfn.XLOOKUP(_xlpm.v, 素材!B:B, 素材!A:A, ""))),"[" &amp; _xlfn.TEXTJOIN(",", TRUE, _xlpm.results) &amp; "]")</f>
        <v>[4]</v>
      </c>
      <c r="R9" s="31" t="str" cm="1">
        <f t="array" ref="R9">_xlfn.LET(_xlpm.search_list, _xlfn.HSTACK(M9), _xlpm.output_list, _xlfn.HSTACK(N9), _xlpm.results, _xlfn.MAP(_xlpm.search_list, _xlpm.output_list, _xlfn.LAMBDA(_xlpm.s,_xlpm.o, IF(ISNUMBER(MATCH(_xlpm.s, 素材!B:B, 0)), _xlpm.o, ""))), "[" &amp; _xlfn.TEXTJOIN(",", TRUE, _xlpm.results) &amp; "]")</f>
        <v>[10]</v>
      </c>
      <c r="S9" s="23">
        <f t="shared" si="0"/>
        <v>2</v>
      </c>
    </row>
    <row r="10" spans="1:19" x14ac:dyDescent="0.2">
      <c r="A10" s="10">
        <f>_xlfn.XLOOKUP(B10, ノード!B:B, ノード!A:A, "")</f>
        <v>3</v>
      </c>
      <c r="B10" s="10" t="s">
        <v>127</v>
      </c>
      <c r="C10" s="10">
        <v>3</v>
      </c>
      <c r="D10" s="10">
        <v>3000</v>
      </c>
      <c r="E10" s="10" t="s">
        <v>55</v>
      </c>
      <c r="F10" s="10">
        <v>6</v>
      </c>
      <c r="G10" s="10" t="s">
        <v>150</v>
      </c>
      <c r="H10" s="10">
        <v>3</v>
      </c>
      <c r="I10" s="10" t="s">
        <v>151</v>
      </c>
      <c r="J10" s="10">
        <v>1</v>
      </c>
      <c r="K10" s="10"/>
      <c r="L10" s="10"/>
      <c r="M10" s="10" t="s">
        <v>57</v>
      </c>
      <c r="N10" s="10">
        <v>20</v>
      </c>
      <c r="O10" s="31" t="str" cm="1">
        <f t="array" ref="O10">_xlfn.LET(_xlpm.search_vals, _xlfn.HSTACK(E10, G10, I10,K10),_xlpm.results, _xlfn.BYCOL(_xlpm.search_vals, _xlfn.LAMBDA(_xlpm.v, _xlfn.XLOOKUP(_xlpm.v, 素材!B:B, 素材!A:A, ""))),"[" &amp; _xlfn.TEXTJOIN(",", TRUE, _xlpm.results) &amp; "]")</f>
        <v>[2,5,6]</v>
      </c>
      <c r="P10" s="31" t="str" cm="1">
        <f t="array" ref="P10">_xlfn.LET(_xlpm.search_list, _xlfn.HSTACK(E10, G10, I10,K10), _xlpm.output_list, _xlfn.HSTACK(F10, H10, J10,L10), _xlpm.results, _xlfn.MAP(_xlpm.search_list, _xlpm.output_list, _xlfn.LAMBDA(_xlpm.s,_xlpm.o, IF(ISNUMBER(MATCH(_xlpm.s, 素材!B:B, 0)), _xlpm.o, ""))), "[" &amp; _xlfn.TEXTJOIN(",", TRUE, _xlpm.results) &amp; "]")</f>
        <v>[6,3,1]</v>
      </c>
      <c r="Q10" s="31" t="str" cm="1">
        <f t="array" ref="Q10">_xlfn.LET(_xlpm.search_vals, _xlfn.HSTACK(M10),_xlpm.results, _xlfn.BYCOL(_xlpm.search_vals, _xlfn.LAMBDA(_xlpm.v, _xlfn.XLOOKUP(_xlpm.v, 素材!B:B, 素材!A:A, ""))),"[" &amp; _xlfn.TEXTJOIN(",", TRUE, _xlpm.results) &amp; "]")</f>
        <v>[4]</v>
      </c>
      <c r="R10" s="31" t="str" cm="1">
        <f t="array" ref="R10">_xlfn.LET(_xlpm.search_list, _xlfn.HSTACK(M10), _xlpm.output_list, _xlfn.HSTACK(N10), _xlpm.results, _xlfn.MAP(_xlpm.search_list, _xlpm.output_list, _xlfn.LAMBDA(_xlpm.s,_xlpm.o, IF(ISNUMBER(MATCH(_xlpm.s, 素材!B:B, 0)), _xlpm.o, ""))), "[" &amp; _xlfn.TEXTJOIN(",", TRUE, _xlpm.results) &amp; "]")</f>
        <v>[20]</v>
      </c>
      <c r="S10" s="23">
        <f t="shared" si="0"/>
        <v>2</v>
      </c>
    </row>
    <row r="11" spans="1:19" x14ac:dyDescent="0.2">
      <c r="A11" s="10">
        <f>_xlfn.XLOOKUP(B11, ノード!B:B, ノード!A:A, "")</f>
        <v>3</v>
      </c>
      <c r="B11" s="10" t="s">
        <v>127</v>
      </c>
      <c r="C11" s="10">
        <v>4</v>
      </c>
      <c r="D11" s="10">
        <v>4000</v>
      </c>
      <c r="E11" s="10" t="s">
        <v>55</v>
      </c>
      <c r="F11" s="10">
        <v>8</v>
      </c>
      <c r="G11" s="10" t="s">
        <v>150</v>
      </c>
      <c r="H11" s="10">
        <v>4</v>
      </c>
      <c r="I11" s="10" t="s">
        <v>151</v>
      </c>
      <c r="J11" s="10">
        <v>2</v>
      </c>
      <c r="K11" s="10"/>
      <c r="L11" s="10"/>
      <c r="M11" s="10" t="s">
        <v>57</v>
      </c>
      <c r="N11" s="10">
        <v>30</v>
      </c>
      <c r="O11" s="31" t="str" cm="1">
        <f t="array" ref="O11">_xlfn.LET(_xlpm.search_vals, _xlfn.HSTACK(E11, G11, I11,K11),_xlpm.results, _xlfn.BYCOL(_xlpm.search_vals, _xlfn.LAMBDA(_xlpm.v, _xlfn.XLOOKUP(_xlpm.v, 素材!B:B, 素材!A:A, ""))),"[" &amp; _xlfn.TEXTJOIN(",", TRUE, _xlpm.results) &amp; "]")</f>
        <v>[2,5,6]</v>
      </c>
      <c r="P11" s="31" t="str" cm="1">
        <f t="array" ref="P11">_xlfn.LET(_xlpm.search_list, _xlfn.HSTACK(E11, G11, I11,K11), _xlpm.output_list, _xlfn.HSTACK(F11, H11, J11,L11), _xlpm.results, _xlfn.MAP(_xlpm.search_list, _xlpm.output_list, _xlfn.LAMBDA(_xlpm.s,_xlpm.o, IF(ISNUMBER(MATCH(_xlpm.s, 素材!B:B, 0)), _xlpm.o, ""))), "[" &amp; _xlfn.TEXTJOIN(",", TRUE, _xlpm.results) &amp; "]")</f>
        <v>[8,4,2]</v>
      </c>
      <c r="Q11" s="31" t="str" cm="1">
        <f t="array" ref="Q11">_xlfn.LET(_xlpm.search_vals, _xlfn.HSTACK(M11),_xlpm.results, _xlfn.BYCOL(_xlpm.search_vals, _xlfn.LAMBDA(_xlpm.v, _xlfn.XLOOKUP(_xlpm.v, 素材!B:B, 素材!A:A, ""))),"[" &amp; _xlfn.TEXTJOIN(",", TRUE, _xlpm.results) &amp; "]")</f>
        <v>[4]</v>
      </c>
      <c r="R11" s="31" t="str" cm="1">
        <f t="array" ref="R11">_xlfn.LET(_xlpm.search_list, _xlfn.HSTACK(M11), _xlpm.output_list, _xlfn.HSTACK(N11), _xlpm.results, _xlfn.MAP(_xlpm.search_list, _xlpm.output_list, _xlfn.LAMBDA(_xlpm.s,_xlpm.o, IF(ISNUMBER(MATCH(_xlpm.s, 素材!B:B, 0)), _xlpm.o, ""))), "[" &amp; _xlfn.TEXTJOIN(",", TRUE, _xlpm.results) &amp; "]")</f>
        <v>[30]</v>
      </c>
      <c r="S11" s="23">
        <f t="shared" si="0"/>
        <v>2.1428571428571428</v>
      </c>
    </row>
    <row r="12" spans="1:19" x14ac:dyDescent="0.2">
      <c r="A12" s="10">
        <f>_xlfn.XLOOKUP(B12, ノード!B:B, ノード!A:A, "")</f>
        <v>3</v>
      </c>
      <c r="B12" s="10" t="s">
        <v>127</v>
      </c>
      <c r="C12" s="10">
        <v>5</v>
      </c>
      <c r="D12" s="10">
        <v>5000</v>
      </c>
      <c r="E12" s="10" t="s">
        <v>55</v>
      </c>
      <c r="F12" s="10">
        <v>10</v>
      </c>
      <c r="G12" s="10" t="s">
        <v>150</v>
      </c>
      <c r="H12" s="10">
        <v>5</v>
      </c>
      <c r="I12" s="10" t="s">
        <v>151</v>
      </c>
      <c r="J12" s="10">
        <v>4</v>
      </c>
      <c r="K12" s="10"/>
      <c r="L12" s="10"/>
      <c r="M12" s="10" t="s">
        <v>57</v>
      </c>
      <c r="N12" s="10">
        <v>55</v>
      </c>
      <c r="O12" s="31" t="str" cm="1">
        <f t="array" ref="O12">_xlfn.LET(_xlpm.search_vals, _xlfn.HSTACK(E12, G12, I12,K12),_xlpm.results, _xlfn.BYCOL(_xlpm.search_vals, _xlfn.LAMBDA(_xlpm.v, _xlfn.XLOOKUP(_xlpm.v, 素材!B:B, 素材!A:A, ""))),"[" &amp; _xlfn.TEXTJOIN(",", TRUE, _xlpm.results) &amp; "]")</f>
        <v>[2,5,6]</v>
      </c>
      <c r="P12" s="31" t="str" cm="1">
        <f t="array" ref="P12">_xlfn.LET(_xlpm.search_list, _xlfn.HSTACK(E12, G12, I12,K12), _xlpm.output_list, _xlfn.HSTACK(F12, H12, J12,L12), _xlpm.results, _xlfn.MAP(_xlpm.search_list, _xlpm.output_list, _xlfn.LAMBDA(_xlpm.s,_xlpm.o, IF(ISNUMBER(MATCH(_xlpm.s, 素材!B:B, 0)), _xlpm.o, ""))), "[" &amp; _xlfn.TEXTJOIN(",", TRUE, _xlpm.results) &amp; "]")</f>
        <v>[10,5,4]</v>
      </c>
      <c r="Q12" s="31" t="str" cm="1">
        <f t="array" ref="Q12">_xlfn.LET(_xlpm.search_vals, _xlfn.HSTACK(M12),_xlpm.results, _xlfn.BYCOL(_xlpm.search_vals, _xlfn.LAMBDA(_xlpm.v, _xlfn.XLOOKUP(_xlpm.v, 素材!B:B, 素材!A:A, ""))),"[" &amp; _xlfn.TEXTJOIN(",", TRUE, _xlpm.results) &amp; "]")</f>
        <v>[4]</v>
      </c>
      <c r="R12" s="31" t="str" cm="1">
        <f t="array" ref="R12">_xlfn.LET(_xlpm.search_list, _xlfn.HSTACK(M12), _xlpm.output_list, _xlfn.HSTACK(N12), _xlpm.results, _xlfn.MAP(_xlpm.search_list, _xlpm.output_list, _xlfn.LAMBDA(_xlpm.s,_xlpm.o, IF(ISNUMBER(MATCH(_xlpm.s, 素材!B:B, 0)), _xlpm.o, ""))), "[" &amp; _xlfn.TEXTJOIN(",", TRUE, _xlpm.results) &amp; "]")</f>
        <v>[55]</v>
      </c>
      <c r="S12" s="23">
        <f t="shared" si="0"/>
        <v>2.8947368421052633</v>
      </c>
    </row>
    <row r="13" spans="1:19" x14ac:dyDescent="0.2">
      <c r="A13" s="10">
        <f>_xlfn.XLOOKUP(B13, ノード!B:B, ノード!A:A, "")</f>
        <v>3</v>
      </c>
      <c r="B13" s="10" t="s">
        <v>127</v>
      </c>
      <c r="C13" s="10">
        <v>6</v>
      </c>
      <c r="D13" s="10">
        <v>6000</v>
      </c>
      <c r="E13" s="10" t="s">
        <v>55</v>
      </c>
      <c r="F13" s="10">
        <v>12</v>
      </c>
      <c r="G13" s="10" t="s">
        <v>150</v>
      </c>
      <c r="H13" s="10">
        <v>6</v>
      </c>
      <c r="I13" s="10" t="s">
        <v>151</v>
      </c>
      <c r="J13" s="10">
        <v>7</v>
      </c>
      <c r="K13" s="10"/>
      <c r="L13" s="10"/>
      <c r="M13" s="10" t="s">
        <v>57</v>
      </c>
      <c r="N13" s="10">
        <v>75</v>
      </c>
      <c r="O13" s="31" t="str" cm="1">
        <f t="array" ref="O13">_xlfn.LET(_xlpm.search_vals, _xlfn.HSTACK(E13, G13, I13,K13),_xlpm.results, _xlfn.BYCOL(_xlpm.search_vals, _xlfn.LAMBDA(_xlpm.v, _xlfn.XLOOKUP(_xlpm.v, 素材!B:B, 素材!A:A, ""))),"[" &amp; _xlfn.TEXTJOIN(",", TRUE, _xlpm.results) &amp; "]")</f>
        <v>[2,5,6]</v>
      </c>
      <c r="P13" s="31" t="str" cm="1">
        <f t="array" ref="P13">_xlfn.LET(_xlpm.search_list, _xlfn.HSTACK(E13, G13, I13,K13), _xlpm.output_list, _xlfn.HSTACK(F13, H13, J13,L13), _xlpm.results, _xlfn.MAP(_xlpm.search_list, _xlpm.output_list, _xlfn.LAMBDA(_xlpm.s,_xlpm.o, IF(ISNUMBER(MATCH(_xlpm.s, 素材!B:B, 0)), _xlpm.o, ""))), "[" &amp; _xlfn.TEXTJOIN(",", TRUE, _xlpm.results) &amp; "]")</f>
        <v>[12,6,7]</v>
      </c>
      <c r="Q13" s="31" t="str" cm="1">
        <f t="array" ref="Q13">_xlfn.LET(_xlpm.search_vals, _xlfn.HSTACK(M13),_xlpm.results, _xlfn.BYCOL(_xlpm.search_vals, _xlfn.LAMBDA(_xlpm.v, _xlfn.XLOOKUP(_xlpm.v, 素材!B:B, 素材!A:A, ""))),"[" &amp; _xlfn.TEXTJOIN(",", TRUE, _xlpm.results) &amp; "]")</f>
        <v>[4]</v>
      </c>
      <c r="R13" s="31" t="str" cm="1">
        <f t="array" ref="R13">_xlfn.LET(_xlpm.search_list, _xlfn.HSTACK(M13), _xlpm.output_list, _xlfn.HSTACK(N13), _xlpm.results, _xlfn.MAP(_xlpm.search_list, _xlpm.output_list, _xlfn.LAMBDA(_xlpm.s,_xlpm.o, IF(ISNUMBER(MATCH(_xlpm.s, 素材!B:B, 0)), _xlpm.o, ""))), "[" &amp; _xlfn.TEXTJOIN(",", TRUE, _xlpm.results) &amp; "]")</f>
        <v>[75]</v>
      </c>
      <c r="S13" s="23">
        <f t="shared" si="0"/>
        <v>3</v>
      </c>
    </row>
    <row r="14" spans="1:19" x14ac:dyDescent="0.2">
      <c r="A14" s="10">
        <f>_xlfn.XLOOKUP(B14, ノード!B:B, ノード!A:A, "")</f>
        <v>3</v>
      </c>
      <c r="B14" s="10" t="s">
        <v>127</v>
      </c>
      <c r="C14" s="10">
        <v>7</v>
      </c>
      <c r="D14" s="10">
        <v>7000</v>
      </c>
      <c r="E14" s="10" t="s">
        <v>55</v>
      </c>
      <c r="F14" s="10">
        <v>14</v>
      </c>
      <c r="G14" s="10" t="s">
        <v>150</v>
      </c>
      <c r="H14" s="10">
        <v>7</v>
      </c>
      <c r="I14" s="10" t="s">
        <v>151</v>
      </c>
      <c r="J14" s="10">
        <v>11</v>
      </c>
      <c r="K14" s="10"/>
      <c r="L14" s="10"/>
      <c r="M14" s="10" t="s">
        <v>57</v>
      </c>
      <c r="N14" s="10">
        <v>100</v>
      </c>
      <c r="O14" s="31" t="str" cm="1">
        <f t="array" ref="O14">_xlfn.LET(_xlpm.search_vals, _xlfn.HSTACK(E14, G14, I14,K14),_xlpm.results, _xlfn.BYCOL(_xlpm.search_vals, _xlfn.LAMBDA(_xlpm.v, _xlfn.XLOOKUP(_xlpm.v, 素材!B:B, 素材!A:A, ""))),"[" &amp; _xlfn.TEXTJOIN(",", TRUE, _xlpm.results) &amp; "]")</f>
        <v>[2,5,6]</v>
      </c>
      <c r="P14" s="31" t="str" cm="1">
        <f t="array" ref="P14">_xlfn.LET(_xlpm.search_list, _xlfn.HSTACK(E14, G14, I14,K14), _xlpm.output_list, _xlfn.HSTACK(F14, H14, J14,L14), _xlpm.results, _xlfn.MAP(_xlpm.search_list, _xlpm.output_list, _xlfn.LAMBDA(_xlpm.s,_xlpm.o, IF(ISNUMBER(MATCH(_xlpm.s, 素材!B:B, 0)), _xlpm.o, ""))), "[" &amp; _xlfn.TEXTJOIN(",", TRUE, _xlpm.results) &amp; "]")</f>
        <v>[14,7,11]</v>
      </c>
      <c r="Q14" s="31" t="str" cm="1">
        <f t="array" ref="Q14">_xlfn.LET(_xlpm.search_vals, _xlfn.HSTACK(M14),_xlpm.results, _xlfn.BYCOL(_xlpm.search_vals, _xlfn.LAMBDA(_xlpm.v, _xlfn.XLOOKUP(_xlpm.v, 素材!B:B, 素材!A:A, ""))),"[" &amp; _xlfn.TEXTJOIN(",", TRUE, _xlpm.results) &amp; "]")</f>
        <v>[4]</v>
      </c>
      <c r="R14" s="31" t="str" cm="1">
        <f t="array" ref="R14">_xlfn.LET(_xlpm.search_list, _xlfn.HSTACK(M14), _xlpm.output_list, _xlfn.HSTACK(N14), _xlpm.results, _xlfn.MAP(_xlpm.search_list, _xlpm.output_list, _xlfn.LAMBDA(_xlpm.s,_xlpm.o, IF(ISNUMBER(MATCH(_xlpm.s, 素材!B:B, 0)), _xlpm.o, ""))), "[" &amp; _xlfn.TEXTJOIN(",", TRUE, _xlpm.results) &amp; "]")</f>
        <v>[100]</v>
      </c>
      <c r="S14" s="23">
        <f t="shared" si="0"/>
        <v>3.125</v>
      </c>
    </row>
    <row r="15" spans="1:19" x14ac:dyDescent="0.2">
      <c r="A15" s="10">
        <f>_xlfn.XLOOKUP(B15, ノード!B:B, ノード!A:A, "")</f>
        <v>3</v>
      </c>
      <c r="B15" s="10" t="s">
        <v>127</v>
      </c>
      <c r="C15" s="10">
        <v>8</v>
      </c>
      <c r="D15" s="10">
        <v>8000</v>
      </c>
      <c r="E15" s="10" t="s">
        <v>55</v>
      </c>
      <c r="F15" s="10">
        <v>16</v>
      </c>
      <c r="G15" s="10" t="s">
        <v>150</v>
      </c>
      <c r="H15" s="10">
        <v>8</v>
      </c>
      <c r="I15" s="10" t="s">
        <v>151</v>
      </c>
      <c r="J15" s="10">
        <v>16</v>
      </c>
      <c r="K15" s="10"/>
      <c r="L15" s="10"/>
      <c r="M15" s="10" t="s">
        <v>57</v>
      </c>
      <c r="N15" s="10">
        <v>130</v>
      </c>
      <c r="O15" s="31" t="str" cm="1">
        <f t="array" ref="O15">_xlfn.LET(_xlpm.search_vals, _xlfn.HSTACK(E15, G15, I15,K15),_xlpm.results, _xlfn.BYCOL(_xlpm.search_vals, _xlfn.LAMBDA(_xlpm.v, _xlfn.XLOOKUP(_xlpm.v, 素材!B:B, 素材!A:A, ""))),"[" &amp; _xlfn.TEXTJOIN(",", TRUE, _xlpm.results) &amp; "]")</f>
        <v>[2,5,6]</v>
      </c>
      <c r="P15" s="31" t="str" cm="1">
        <f t="array" ref="P15">_xlfn.LET(_xlpm.search_list, _xlfn.HSTACK(E15, G15, I15,K15), _xlpm.output_list, _xlfn.HSTACK(F15, H15, J15,L15), _xlpm.results, _xlfn.MAP(_xlpm.search_list, _xlpm.output_list, _xlfn.LAMBDA(_xlpm.s,_xlpm.o, IF(ISNUMBER(MATCH(_xlpm.s, 素材!B:B, 0)), _xlpm.o, ""))), "[" &amp; _xlfn.TEXTJOIN(",", TRUE, _xlpm.results) &amp; "]")</f>
        <v>[16,8,16]</v>
      </c>
      <c r="Q15" s="31" t="str" cm="1">
        <f t="array" ref="Q15">_xlfn.LET(_xlpm.search_vals, _xlfn.HSTACK(M15),_xlpm.results, _xlfn.BYCOL(_xlpm.search_vals, _xlfn.LAMBDA(_xlpm.v, _xlfn.XLOOKUP(_xlpm.v, 素材!B:B, 素材!A:A, ""))),"[" &amp; _xlfn.TEXTJOIN(",", TRUE, _xlpm.results) &amp; "]")</f>
        <v>[4]</v>
      </c>
      <c r="R15" s="31" t="str" cm="1">
        <f t="array" ref="R15">_xlfn.LET(_xlpm.search_list, _xlfn.HSTACK(M15), _xlpm.output_list, _xlfn.HSTACK(N15), _xlpm.results, _xlfn.MAP(_xlpm.search_list, _xlpm.output_list, _xlfn.LAMBDA(_xlpm.s,_xlpm.o, IF(ISNUMBER(MATCH(_xlpm.s, 素材!B:B, 0)), _xlpm.o, ""))), "[" &amp; _xlfn.TEXTJOIN(",", TRUE, _xlpm.results) &amp; "]")</f>
        <v>[130]</v>
      </c>
      <c r="S15" s="23">
        <f t="shared" si="0"/>
        <v>3.25</v>
      </c>
    </row>
    <row r="16" spans="1:19" x14ac:dyDescent="0.2">
      <c r="A16" s="10">
        <f>_xlfn.XLOOKUP(B16, ノード!B:B, ノード!A:A, "")</f>
        <v>3</v>
      </c>
      <c r="B16" s="10" t="s">
        <v>127</v>
      </c>
      <c r="C16" s="10">
        <v>9</v>
      </c>
      <c r="D16" s="10">
        <v>9000</v>
      </c>
      <c r="E16" s="10" t="s">
        <v>55</v>
      </c>
      <c r="F16" s="10">
        <v>18</v>
      </c>
      <c r="G16" s="10" t="s">
        <v>150</v>
      </c>
      <c r="H16" s="10">
        <v>9</v>
      </c>
      <c r="I16" s="10" t="s">
        <v>151</v>
      </c>
      <c r="J16" s="10">
        <v>22</v>
      </c>
      <c r="K16" s="10"/>
      <c r="L16" s="10"/>
      <c r="M16" s="10" t="s">
        <v>57</v>
      </c>
      <c r="N16" s="10">
        <v>160</v>
      </c>
      <c r="O16" s="31" t="str" cm="1">
        <f t="array" ref="O16">_xlfn.LET(_xlpm.search_vals, _xlfn.HSTACK(E16, G16, I16,K16),_xlpm.results, _xlfn.BYCOL(_xlpm.search_vals, _xlfn.LAMBDA(_xlpm.v, _xlfn.XLOOKUP(_xlpm.v, 素材!B:B, 素材!A:A, ""))),"[" &amp; _xlfn.TEXTJOIN(",", TRUE, _xlpm.results) &amp; "]")</f>
        <v>[2,5,6]</v>
      </c>
      <c r="P16" s="31" t="str" cm="1">
        <f t="array" ref="P16">_xlfn.LET(_xlpm.search_list, _xlfn.HSTACK(E16, G16, I16,K16), _xlpm.output_list, _xlfn.HSTACK(F16, H16, J16,L16), _xlpm.results, _xlfn.MAP(_xlpm.search_list, _xlpm.output_list, _xlfn.LAMBDA(_xlpm.s,_xlpm.o, IF(ISNUMBER(MATCH(_xlpm.s, 素材!B:B, 0)), _xlpm.o, ""))), "[" &amp; _xlfn.TEXTJOIN(",", TRUE, _xlpm.results) &amp; "]")</f>
        <v>[18,9,22]</v>
      </c>
      <c r="Q16" s="31" t="str" cm="1">
        <f t="array" ref="Q16">_xlfn.LET(_xlpm.search_vals, _xlfn.HSTACK(M16),_xlpm.results, _xlfn.BYCOL(_xlpm.search_vals, _xlfn.LAMBDA(_xlpm.v, _xlfn.XLOOKUP(_xlpm.v, 素材!B:B, 素材!A:A, ""))),"[" &amp; _xlfn.TEXTJOIN(",", TRUE, _xlpm.results) &amp; "]")</f>
        <v>[4]</v>
      </c>
      <c r="R16" s="31" t="str" cm="1">
        <f t="array" ref="R16">_xlfn.LET(_xlpm.search_list, _xlfn.HSTACK(M16), _xlpm.output_list, _xlfn.HSTACK(N16), _xlpm.results, _xlfn.MAP(_xlpm.search_list, _xlpm.output_list, _xlfn.LAMBDA(_xlpm.s,_xlpm.o, IF(ISNUMBER(MATCH(_xlpm.s, 素材!B:B, 0)), _xlpm.o, ""))), "[" &amp; _xlfn.TEXTJOIN(",", TRUE, _xlpm.results) &amp; "]")</f>
        <v>[160]</v>
      </c>
      <c r="S16" s="23">
        <f t="shared" si="0"/>
        <v>3.2653061224489797</v>
      </c>
    </row>
    <row r="17" spans="1:19" x14ac:dyDescent="0.2">
      <c r="A17" s="10">
        <f>_xlfn.XLOOKUP(B17, ノード!B:B, ノード!A:A, "")</f>
        <v>3</v>
      </c>
      <c r="B17" s="10" t="s">
        <v>127</v>
      </c>
      <c r="C17" s="10">
        <v>10</v>
      </c>
      <c r="D17" s="10">
        <v>10000</v>
      </c>
      <c r="E17" s="10" t="s">
        <v>55</v>
      </c>
      <c r="F17" s="10">
        <v>20</v>
      </c>
      <c r="G17" s="10" t="s">
        <v>150</v>
      </c>
      <c r="H17" s="10">
        <v>10</v>
      </c>
      <c r="I17" s="10" t="s">
        <v>151</v>
      </c>
      <c r="J17" s="10">
        <v>30</v>
      </c>
      <c r="K17" s="10"/>
      <c r="L17" s="10"/>
      <c r="M17" s="10" t="s">
        <v>57</v>
      </c>
      <c r="N17" s="10">
        <v>200</v>
      </c>
      <c r="O17" s="31" t="str" cm="1">
        <f t="array" ref="O17">_xlfn.LET(_xlpm.search_vals, _xlfn.HSTACK(E17, G17, I17,K17),_xlpm.results, _xlfn.BYCOL(_xlpm.search_vals, _xlfn.LAMBDA(_xlpm.v, _xlfn.XLOOKUP(_xlpm.v, 素材!B:B, 素材!A:A, ""))),"[" &amp; _xlfn.TEXTJOIN(",", TRUE, _xlpm.results) &amp; "]")</f>
        <v>[2,5,6]</v>
      </c>
      <c r="P17" s="31" t="str" cm="1">
        <f t="array" ref="P17">_xlfn.LET(_xlpm.search_list, _xlfn.HSTACK(E17, G17, I17,K17), _xlpm.output_list, _xlfn.HSTACK(F17, H17, J17,L17), _xlpm.results, _xlfn.MAP(_xlpm.search_list, _xlpm.output_list, _xlfn.LAMBDA(_xlpm.s,_xlpm.o, IF(ISNUMBER(MATCH(_xlpm.s, 素材!B:B, 0)), _xlpm.o, ""))), "[" &amp; _xlfn.TEXTJOIN(",", TRUE, _xlpm.results) &amp; "]")</f>
        <v>[20,10,30]</v>
      </c>
      <c r="Q17" s="31" t="str" cm="1">
        <f t="array" ref="Q17">_xlfn.LET(_xlpm.search_vals, _xlfn.HSTACK(M17),_xlpm.results, _xlfn.BYCOL(_xlpm.search_vals, _xlfn.LAMBDA(_xlpm.v, _xlfn.XLOOKUP(_xlpm.v, 素材!B:B, 素材!A:A, ""))),"[" &amp; _xlfn.TEXTJOIN(",", TRUE, _xlpm.results) &amp; "]")</f>
        <v>[4]</v>
      </c>
      <c r="R17" s="31" t="str" cm="1">
        <f t="array" ref="R17">_xlfn.LET(_xlpm.search_list, _xlfn.HSTACK(M17), _xlpm.output_list, _xlfn.HSTACK(N17), _xlpm.results, _xlfn.MAP(_xlpm.search_list, _xlpm.output_list, _xlfn.LAMBDA(_xlpm.s,_xlpm.o, IF(ISNUMBER(MATCH(_xlpm.s, 素材!B:B, 0)), _xlpm.o, ""))), "[" &amp; _xlfn.TEXTJOIN(",", TRUE, _xlpm.results) &amp; "]")</f>
        <v>[200]</v>
      </c>
      <c r="S17" s="23">
        <f t="shared" si="0"/>
        <v>3.3333333333333335</v>
      </c>
    </row>
    <row r="18" spans="1:19" x14ac:dyDescent="0.2">
      <c r="A18" s="10">
        <f>_xlfn.XLOOKUP(B18, ノード!B:B, ノード!A:A, "")</f>
        <v>4</v>
      </c>
      <c r="B18" s="10" t="s">
        <v>128</v>
      </c>
      <c r="C18" s="10">
        <v>0</v>
      </c>
      <c r="D18" s="10">
        <v>0</v>
      </c>
      <c r="E18" s="10" t="s">
        <v>55</v>
      </c>
      <c r="F18" s="10">
        <v>2</v>
      </c>
      <c r="G18" s="10" t="s">
        <v>56</v>
      </c>
      <c r="H18" s="10">
        <v>2</v>
      </c>
      <c r="I18" s="10" t="s">
        <v>57</v>
      </c>
      <c r="J18" s="10">
        <v>1</v>
      </c>
      <c r="K18" s="10"/>
      <c r="L18" s="10"/>
      <c r="M18" s="10" t="s">
        <v>150</v>
      </c>
      <c r="N18" s="10">
        <v>3</v>
      </c>
      <c r="O18" s="31" t="str" cm="1">
        <f t="array" ref="O18">_xlfn.LET(_xlpm.search_vals, _xlfn.HSTACK(E18, G18, I18,K18),_xlpm.results, _xlfn.BYCOL(_xlpm.search_vals, _xlfn.LAMBDA(_xlpm.v, _xlfn.XLOOKUP(_xlpm.v, 素材!B:B, 素材!A:A, ""))),"[" &amp; _xlfn.TEXTJOIN(",", TRUE, _xlpm.results) &amp; "]")</f>
        <v>[2,3,4]</v>
      </c>
      <c r="P18" s="31" t="str" cm="1">
        <f t="array" ref="P18">_xlfn.LET(_xlpm.search_list, _xlfn.HSTACK(E18, G18, I18,K18), _xlpm.output_list, _xlfn.HSTACK(F18, H18, J18,L18), _xlpm.results, _xlfn.MAP(_xlpm.search_list, _xlpm.output_list, _xlfn.LAMBDA(_xlpm.s,_xlpm.o, IF(ISNUMBER(MATCH(_xlpm.s, 素材!B:B, 0)), _xlpm.o, ""))), "[" &amp; _xlfn.TEXTJOIN(",", TRUE, _xlpm.results) &amp; "]")</f>
        <v>[2,2,1]</v>
      </c>
      <c r="Q18" s="31" t="str" cm="1">
        <f t="array" ref="Q18">_xlfn.LET(_xlpm.search_vals, _xlfn.HSTACK(M18),_xlpm.results, _xlfn.BYCOL(_xlpm.search_vals, _xlfn.LAMBDA(_xlpm.v, _xlfn.XLOOKUP(_xlpm.v, 素材!B:B, 素材!A:A, ""))),"[" &amp; _xlfn.TEXTJOIN(",", TRUE, _xlpm.results) &amp; "]")</f>
        <v>[5]</v>
      </c>
      <c r="R18" s="31" t="str" cm="1">
        <f t="array" ref="R18">_xlfn.LET(_xlpm.search_list, _xlfn.HSTACK(M18), _xlpm.output_list, _xlfn.HSTACK(N18), _xlpm.results, _xlfn.MAP(_xlpm.search_list, _xlpm.output_list, _xlfn.LAMBDA(_xlpm.s,_xlpm.o, IF(ISNUMBER(MATCH(_xlpm.s, 素材!B:B, 0)), _xlpm.o, ""))), "[" &amp; _xlfn.TEXTJOIN(",", TRUE, _xlpm.results) &amp; "]")</f>
        <v>[3]</v>
      </c>
      <c r="S18" s="23">
        <f t="shared" ref="S18" si="1">IFERROR(N18/(F18+H18+J18+L18),"-")</f>
        <v>0.6</v>
      </c>
    </row>
    <row r="19" spans="1:19" x14ac:dyDescent="0.2">
      <c r="A19" s="10">
        <f>_xlfn.XLOOKUP(B19, ノード!B:B, ノード!A:A, "")</f>
        <v>4</v>
      </c>
      <c r="B19" s="10" t="s">
        <v>128</v>
      </c>
      <c r="C19" s="10">
        <v>1</v>
      </c>
      <c r="D19" s="10">
        <v>1000</v>
      </c>
      <c r="E19" s="10" t="s">
        <v>55</v>
      </c>
      <c r="F19" s="10">
        <v>2</v>
      </c>
      <c r="G19" s="10" t="s">
        <v>56</v>
      </c>
      <c r="H19" s="10">
        <v>2</v>
      </c>
      <c r="I19" s="10" t="s">
        <v>57</v>
      </c>
      <c r="J19" s="10">
        <v>1</v>
      </c>
      <c r="K19" s="10"/>
      <c r="L19" s="10"/>
      <c r="M19" s="10" t="s">
        <v>150</v>
      </c>
      <c r="N19" s="10">
        <v>3</v>
      </c>
      <c r="O19" s="31" t="str" cm="1">
        <f t="array" ref="O19">_xlfn.LET(_xlpm.search_vals, _xlfn.HSTACK(E19, G19, I19,K19),_xlpm.results, _xlfn.BYCOL(_xlpm.search_vals, _xlfn.LAMBDA(_xlpm.v, _xlfn.XLOOKUP(_xlpm.v, 素材!B:B, 素材!A:A, ""))),"[" &amp; _xlfn.TEXTJOIN(",", TRUE, _xlpm.results) &amp; "]")</f>
        <v>[2,3,4]</v>
      </c>
      <c r="P19" s="31" t="str" cm="1">
        <f t="array" ref="P19">_xlfn.LET(_xlpm.search_list, _xlfn.HSTACK(E19, G19, I19,K19), _xlpm.output_list, _xlfn.HSTACK(F19, H19, J19,L19), _xlpm.results, _xlfn.MAP(_xlpm.search_list, _xlpm.output_list, _xlfn.LAMBDA(_xlpm.s,_xlpm.o, IF(ISNUMBER(MATCH(_xlpm.s, 素材!B:B, 0)), _xlpm.o, ""))), "[" &amp; _xlfn.TEXTJOIN(",", TRUE, _xlpm.results) &amp; "]")</f>
        <v>[2,2,1]</v>
      </c>
      <c r="Q19" s="31" t="str" cm="1">
        <f t="array" ref="Q19">_xlfn.LET(_xlpm.search_vals, _xlfn.HSTACK(M19),_xlpm.results, _xlfn.BYCOL(_xlpm.search_vals, _xlfn.LAMBDA(_xlpm.v, _xlfn.XLOOKUP(_xlpm.v, 素材!B:B, 素材!A:A, ""))),"[" &amp; _xlfn.TEXTJOIN(",", TRUE, _xlpm.results) &amp; "]")</f>
        <v>[5]</v>
      </c>
      <c r="R19" s="31" t="str" cm="1">
        <f t="array" ref="R19">_xlfn.LET(_xlpm.search_list, _xlfn.HSTACK(M19), _xlpm.output_list, _xlfn.HSTACK(N19), _xlpm.results, _xlfn.MAP(_xlpm.search_list, _xlpm.output_list, _xlfn.LAMBDA(_xlpm.s,_xlpm.o, IF(ISNUMBER(MATCH(_xlpm.s, 素材!B:B, 0)), _xlpm.o, ""))), "[" &amp; _xlfn.TEXTJOIN(",", TRUE, _xlpm.results) &amp; "]")</f>
        <v>[3]</v>
      </c>
      <c r="S19" s="23">
        <f t="shared" si="0"/>
        <v>0.6</v>
      </c>
    </row>
    <row r="20" spans="1:19" x14ac:dyDescent="0.2">
      <c r="A20" s="10">
        <f>_xlfn.XLOOKUP(B20, ノード!B:B, ノード!A:A, "")</f>
        <v>4</v>
      </c>
      <c r="B20" s="10" t="s">
        <v>128</v>
      </c>
      <c r="C20" s="10">
        <v>2</v>
      </c>
      <c r="D20" s="10">
        <v>2000</v>
      </c>
      <c r="E20" s="10" t="s">
        <v>55</v>
      </c>
      <c r="F20" s="10">
        <v>3</v>
      </c>
      <c r="G20" s="10" t="s">
        <v>56</v>
      </c>
      <c r="H20" s="10">
        <v>3</v>
      </c>
      <c r="I20" s="10" t="s">
        <v>57</v>
      </c>
      <c r="J20" s="10">
        <v>2</v>
      </c>
      <c r="K20" s="10"/>
      <c r="L20" s="10"/>
      <c r="M20" s="10" t="s">
        <v>150</v>
      </c>
      <c r="N20" s="10">
        <v>5</v>
      </c>
      <c r="O20" s="31" t="str" cm="1">
        <f t="array" ref="O20">_xlfn.LET(_xlpm.search_vals, _xlfn.HSTACK(E20, G20, I20,K20),_xlpm.results, _xlfn.BYCOL(_xlpm.search_vals, _xlfn.LAMBDA(_xlpm.v, _xlfn.XLOOKUP(_xlpm.v, 素材!B:B, 素材!A:A, ""))),"[" &amp; _xlfn.TEXTJOIN(",", TRUE, _xlpm.results) &amp; "]")</f>
        <v>[2,3,4]</v>
      </c>
      <c r="P20" s="31" t="str" cm="1">
        <f t="array" ref="P20">_xlfn.LET(_xlpm.search_list, _xlfn.HSTACK(E20, G20, I20,K20), _xlpm.output_list, _xlfn.HSTACK(F20, H20, J20,L20), _xlpm.results, _xlfn.MAP(_xlpm.search_list, _xlpm.output_list, _xlfn.LAMBDA(_xlpm.s,_xlpm.o, IF(ISNUMBER(MATCH(_xlpm.s, 素材!B:B, 0)), _xlpm.o, ""))), "[" &amp; _xlfn.TEXTJOIN(",", TRUE, _xlpm.results) &amp; "]")</f>
        <v>[3,3,2]</v>
      </c>
      <c r="Q20" s="31" t="str" cm="1">
        <f t="array" ref="Q20">_xlfn.LET(_xlpm.search_vals, _xlfn.HSTACK(M20),_xlpm.results, _xlfn.BYCOL(_xlpm.search_vals, _xlfn.LAMBDA(_xlpm.v, _xlfn.XLOOKUP(_xlpm.v, 素材!B:B, 素材!A:A, ""))),"[" &amp; _xlfn.TEXTJOIN(",", TRUE, _xlpm.results) &amp; "]")</f>
        <v>[5]</v>
      </c>
      <c r="R20" s="31" t="str" cm="1">
        <f t="array" ref="R20">_xlfn.LET(_xlpm.search_list, _xlfn.HSTACK(M20), _xlpm.output_list, _xlfn.HSTACK(N20), _xlpm.results, _xlfn.MAP(_xlpm.search_list, _xlpm.output_list, _xlfn.LAMBDA(_xlpm.s,_xlpm.o, IF(ISNUMBER(MATCH(_xlpm.s, 素材!B:B, 0)), _xlpm.o, ""))), "[" &amp; _xlfn.TEXTJOIN(",", TRUE, _xlpm.results) &amp; "]")</f>
        <v>[5]</v>
      </c>
      <c r="S20" s="23">
        <f t="shared" si="0"/>
        <v>0.625</v>
      </c>
    </row>
    <row r="21" spans="1:19" x14ac:dyDescent="0.2">
      <c r="A21" s="10">
        <f>_xlfn.XLOOKUP(B21, ノード!B:B, ノード!A:A, "")</f>
        <v>4</v>
      </c>
      <c r="B21" s="10" t="s">
        <v>128</v>
      </c>
      <c r="C21" s="10">
        <v>3</v>
      </c>
      <c r="D21" s="10">
        <v>3000</v>
      </c>
      <c r="E21" s="10" t="s">
        <v>55</v>
      </c>
      <c r="F21" s="10">
        <v>5</v>
      </c>
      <c r="G21" s="10" t="s">
        <v>56</v>
      </c>
      <c r="H21" s="10">
        <v>5</v>
      </c>
      <c r="I21" s="10" t="s">
        <v>57</v>
      </c>
      <c r="J21" s="10">
        <v>4</v>
      </c>
      <c r="K21" s="10"/>
      <c r="L21" s="10"/>
      <c r="M21" s="10" t="s">
        <v>150</v>
      </c>
      <c r="N21" s="10">
        <v>8</v>
      </c>
      <c r="O21" s="31" t="str" cm="1">
        <f t="array" ref="O21">_xlfn.LET(_xlpm.search_vals, _xlfn.HSTACK(E21, G21, I21,K21),_xlpm.results, _xlfn.BYCOL(_xlpm.search_vals, _xlfn.LAMBDA(_xlpm.v, _xlfn.XLOOKUP(_xlpm.v, 素材!B:B, 素材!A:A, ""))),"[" &amp; _xlfn.TEXTJOIN(",", TRUE, _xlpm.results) &amp; "]")</f>
        <v>[2,3,4]</v>
      </c>
      <c r="P21" s="31" t="str" cm="1">
        <f t="array" ref="P21">_xlfn.LET(_xlpm.search_list, _xlfn.HSTACK(E21, G21, I21,K21), _xlpm.output_list, _xlfn.HSTACK(F21, H21, J21,L21), _xlpm.results, _xlfn.MAP(_xlpm.search_list, _xlpm.output_list, _xlfn.LAMBDA(_xlpm.s,_xlpm.o, IF(ISNUMBER(MATCH(_xlpm.s, 素材!B:B, 0)), _xlpm.o, ""))), "[" &amp; _xlfn.TEXTJOIN(",", TRUE, _xlpm.results) &amp; "]")</f>
        <v>[5,5,4]</v>
      </c>
      <c r="Q21" s="31" t="str" cm="1">
        <f t="array" ref="Q21">_xlfn.LET(_xlpm.search_vals, _xlfn.HSTACK(M21),_xlpm.results, _xlfn.BYCOL(_xlpm.search_vals, _xlfn.LAMBDA(_xlpm.v, _xlfn.XLOOKUP(_xlpm.v, 素材!B:B, 素材!A:A, ""))),"[" &amp; _xlfn.TEXTJOIN(",", TRUE, _xlpm.results) &amp; "]")</f>
        <v>[5]</v>
      </c>
      <c r="R21" s="31" t="str" cm="1">
        <f t="array" ref="R21">_xlfn.LET(_xlpm.search_list, _xlfn.HSTACK(M21), _xlpm.output_list, _xlfn.HSTACK(N21), _xlpm.results, _xlfn.MAP(_xlpm.search_list, _xlpm.output_list, _xlfn.LAMBDA(_xlpm.s,_xlpm.o, IF(ISNUMBER(MATCH(_xlpm.s, 素材!B:B, 0)), _xlpm.o, ""))), "[" &amp; _xlfn.TEXTJOIN(",", TRUE, _xlpm.results) &amp; "]")</f>
        <v>[8]</v>
      </c>
      <c r="S21" s="23">
        <f t="shared" si="0"/>
        <v>0.5714285714285714</v>
      </c>
    </row>
    <row r="22" spans="1:19" x14ac:dyDescent="0.2">
      <c r="A22" s="10">
        <f>_xlfn.XLOOKUP(B22, ノード!B:B, ノード!A:A, "")</f>
        <v>4</v>
      </c>
      <c r="B22" s="10" t="s">
        <v>128</v>
      </c>
      <c r="C22" s="10">
        <v>4</v>
      </c>
      <c r="D22" s="10">
        <v>4000</v>
      </c>
      <c r="E22" s="10" t="s">
        <v>55</v>
      </c>
      <c r="F22" s="10">
        <v>8</v>
      </c>
      <c r="G22" s="10" t="s">
        <v>56</v>
      </c>
      <c r="H22" s="10">
        <v>8</v>
      </c>
      <c r="I22" s="10" t="s">
        <v>57</v>
      </c>
      <c r="J22" s="10">
        <v>7</v>
      </c>
      <c r="K22" s="10" t="s">
        <v>152</v>
      </c>
      <c r="L22" s="10">
        <v>4</v>
      </c>
      <c r="M22" s="10" t="s">
        <v>150</v>
      </c>
      <c r="N22" s="10">
        <v>11</v>
      </c>
      <c r="O22" s="31" t="str" cm="1">
        <f t="array" ref="O22">_xlfn.LET(_xlpm.search_vals, _xlfn.HSTACK(E22, G22, I22,K22),_xlpm.results, _xlfn.BYCOL(_xlpm.search_vals, _xlfn.LAMBDA(_xlpm.v, _xlfn.XLOOKUP(_xlpm.v, 素材!B:B, 素材!A:A, ""))),"[" &amp; _xlfn.TEXTJOIN(",", TRUE, _xlpm.results) &amp; "]")</f>
        <v>[2,3,4,7]</v>
      </c>
      <c r="P22" s="31" t="str" cm="1">
        <f t="array" ref="P22">_xlfn.LET(_xlpm.search_list, _xlfn.HSTACK(E22, G22, I22,K22), _xlpm.output_list, _xlfn.HSTACK(F22, H22, J22,L22), _xlpm.results, _xlfn.MAP(_xlpm.search_list, _xlpm.output_list, _xlfn.LAMBDA(_xlpm.s,_xlpm.o, IF(ISNUMBER(MATCH(_xlpm.s, 素材!B:B, 0)), _xlpm.o, ""))), "[" &amp; _xlfn.TEXTJOIN(",", TRUE, _xlpm.results) &amp; "]")</f>
        <v>[8,8,7,4]</v>
      </c>
      <c r="Q22" s="31" t="str" cm="1">
        <f t="array" ref="Q22">_xlfn.LET(_xlpm.search_vals, _xlfn.HSTACK(M22),_xlpm.results, _xlfn.BYCOL(_xlpm.search_vals, _xlfn.LAMBDA(_xlpm.v, _xlfn.XLOOKUP(_xlpm.v, 素材!B:B, 素材!A:A, ""))),"[" &amp; _xlfn.TEXTJOIN(",", TRUE, _xlpm.results) &amp; "]")</f>
        <v>[5]</v>
      </c>
      <c r="R22" s="31" t="str" cm="1">
        <f t="array" ref="R22">_xlfn.LET(_xlpm.search_list, _xlfn.HSTACK(M22), _xlpm.output_list, _xlfn.HSTACK(N22), _xlpm.results, _xlfn.MAP(_xlpm.search_list, _xlpm.output_list, _xlfn.LAMBDA(_xlpm.s,_xlpm.o, IF(ISNUMBER(MATCH(_xlpm.s, 素材!B:B, 0)), _xlpm.o, ""))), "[" &amp; _xlfn.TEXTJOIN(",", TRUE, _xlpm.results) &amp; "]")</f>
        <v>[11]</v>
      </c>
      <c r="S22" s="23">
        <f t="shared" si="0"/>
        <v>0.40740740740740738</v>
      </c>
    </row>
    <row r="23" spans="1:19" x14ac:dyDescent="0.2">
      <c r="A23" s="10">
        <f>_xlfn.XLOOKUP(B23, ノード!B:B, ノード!A:A, "")</f>
        <v>4</v>
      </c>
      <c r="B23" s="10" t="s">
        <v>128</v>
      </c>
      <c r="C23" s="10">
        <v>5</v>
      </c>
      <c r="D23" s="10">
        <v>5000</v>
      </c>
      <c r="E23" s="10" t="s">
        <v>55</v>
      </c>
      <c r="F23" s="10">
        <v>13</v>
      </c>
      <c r="G23" s="10" t="s">
        <v>56</v>
      </c>
      <c r="H23" s="10">
        <v>13</v>
      </c>
      <c r="I23" s="10" t="s">
        <v>57</v>
      </c>
      <c r="J23" s="10">
        <v>13</v>
      </c>
      <c r="K23" s="10" t="s">
        <v>152</v>
      </c>
      <c r="L23" s="10">
        <v>8</v>
      </c>
      <c r="M23" s="10" t="s">
        <v>150</v>
      </c>
      <c r="N23" s="10">
        <v>16</v>
      </c>
      <c r="O23" s="31" t="str" cm="1">
        <f t="array" ref="O23">_xlfn.LET(_xlpm.search_vals, _xlfn.HSTACK(E23, G23, I23,K23),_xlpm.results, _xlfn.BYCOL(_xlpm.search_vals, _xlfn.LAMBDA(_xlpm.v, _xlfn.XLOOKUP(_xlpm.v, 素材!B:B, 素材!A:A, ""))),"[" &amp; _xlfn.TEXTJOIN(",", TRUE, _xlpm.results) &amp; "]")</f>
        <v>[2,3,4,7]</v>
      </c>
      <c r="P23" s="31" t="str" cm="1">
        <f t="array" ref="P23">_xlfn.LET(_xlpm.search_list, _xlfn.HSTACK(E23, G23, I23,K23), _xlpm.output_list, _xlfn.HSTACK(F23, H23, J23,L23), _xlpm.results, _xlfn.MAP(_xlpm.search_list, _xlpm.output_list, _xlfn.LAMBDA(_xlpm.s,_xlpm.o, IF(ISNUMBER(MATCH(_xlpm.s, 素材!B:B, 0)), _xlpm.o, ""))), "[" &amp; _xlfn.TEXTJOIN(",", TRUE, _xlpm.results) &amp; "]")</f>
        <v>[13,13,13,8]</v>
      </c>
      <c r="Q23" s="31" t="str" cm="1">
        <f t="array" ref="Q23">_xlfn.LET(_xlpm.search_vals, _xlfn.HSTACK(M23),_xlpm.results, _xlfn.BYCOL(_xlpm.search_vals, _xlfn.LAMBDA(_xlpm.v, _xlfn.XLOOKUP(_xlpm.v, 素材!B:B, 素材!A:A, ""))),"[" &amp; _xlfn.TEXTJOIN(",", TRUE, _xlpm.results) &amp; "]")</f>
        <v>[5]</v>
      </c>
      <c r="R23" s="31" t="str" cm="1">
        <f t="array" ref="R23">_xlfn.LET(_xlpm.search_list, _xlfn.HSTACK(M23), _xlpm.output_list, _xlfn.HSTACK(N23), _xlpm.results, _xlfn.MAP(_xlpm.search_list, _xlpm.output_list, _xlfn.LAMBDA(_xlpm.s,_xlpm.o, IF(ISNUMBER(MATCH(_xlpm.s, 素材!B:B, 0)), _xlpm.o, ""))), "[" &amp; _xlfn.TEXTJOIN(",", TRUE, _xlpm.results) &amp; "]")</f>
        <v>[16]</v>
      </c>
      <c r="S23" s="23">
        <f t="shared" si="0"/>
        <v>0.34042553191489361</v>
      </c>
    </row>
    <row r="24" spans="1:19" x14ac:dyDescent="0.2">
      <c r="A24" s="10">
        <f>_xlfn.XLOOKUP(B24, ノード!B:B, ノード!A:A, "")</f>
        <v>4</v>
      </c>
      <c r="B24" s="10" t="s">
        <v>128</v>
      </c>
      <c r="C24" s="10">
        <v>6</v>
      </c>
      <c r="D24" s="10">
        <v>6000</v>
      </c>
      <c r="E24" s="10" t="s">
        <v>55</v>
      </c>
      <c r="F24" s="10">
        <v>20</v>
      </c>
      <c r="G24" s="10" t="s">
        <v>56</v>
      </c>
      <c r="H24" s="10">
        <v>20</v>
      </c>
      <c r="I24" s="10" t="s">
        <v>57</v>
      </c>
      <c r="J24" s="10">
        <v>20</v>
      </c>
      <c r="K24" s="10" t="s">
        <v>152</v>
      </c>
      <c r="L24" s="10">
        <v>12</v>
      </c>
      <c r="M24" s="10" t="s">
        <v>150</v>
      </c>
      <c r="N24" s="10">
        <v>24</v>
      </c>
      <c r="O24" s="31" t="str" cm="1">
        <f t="array" ref="O24">_xlfn.LET(_xlpm.search_vals, _xlfn.HSTACK(E24, G24, I24,K24),_xlpm.results, _xlfn.BYCOL(_xlpm.search_vals, _xlfn.LAMBDA(_xlpm.v, _xlfn.XLOOKUP(_xlpm.v, 素材!B:B, 素材!A:A, ""))),"[" &amp; _xlfn.TEXTJOIN(",", TRUE, _xlpm.results) &amp; "]")</f>
        <v>[2,3,4,7]</v>
      </c>
      <c r="P24" s="31" t="str" cm="1">
        <f t="array" ref="P24">_xlfn.LET(_xlpm.search_list, _xlfn.HSTACK(E24, G24, I24,K24), _xlpm.output_list, _xlfn.HSTACK(F24, H24, J24,L24), _xlpm.results, _xlfn.MAP(_xlpm.search_list, _xlpm.output_list, _xlfn.LAMBDA(_xlpm.s,_xlpm.o, IF(ISNUMBER(MATCH(_xlpm.s, 素材!B:B, 0)), _xlpm.o, ""))), "[" &amp; _xlfn.TEXTJOIN(",", TRUE, _xlpm.results) &amp; "]")</f>
        <v>[20,20,20,12]</v>
      </c>
      <c r="Q24" s="31" t="str" cm="1">
        <f t="array" ref="Q24">_xlfn.LET(_xlpm.search_vals, _xlfn.HSTACK(M24),_xlpm.results, _xlfn.BYCOL(_xlpm.search_vals, _xlfn.LAMBDA(_xlpm.v, _xlfn.XLOOKUP(_xlpm.v, 素材!B:B, 素材!A:A, ""))),"[" &amp; _xlfn.TEXTJOIN(",", TRUE, _xlpm.results) &amp; "]")</f>
        <v>[5]</v>
      </c>
      <c r="R24" s="31" t="str" cm="1">
        <f t="array" ref="R24">_xlfn.LET(_xlpm.search_list, _xlfn.HSTACK(M24), _xlpm.output_list, _xlfn.HSTACK(N24), _xlpm.results, _xlfn.MAP(_xlpm.search_list, _xlpm.output_list, _xlfn.LAMBDA(_xlpm.s,_xlpm.o, IF(ISNUMBER(MATCH(_xlpm.s, 素材!B:B, 0)), _xlpm.o, ""))), "[" &amp; _xlfn.TEXTJOIN(",", TRUE, _xlpm.results) &amp; "]")</f>
        <v>[24]</v>
      </c>
      <c r="S24" s="23">
        <f t="shared" si="0"/>
        <v>0.33333333333333331</v>
      </c>
    </row>
    <row r="25" spans="1:19" x14ac:dyDescent="0.2">
      <c r="A25" s="10">
        <f>_xlfn.XLOOKUP(B25, ノード!B:B, ノード!A:A, "")</f>
        <v>4</v>
      </c>
      <c r="B25" s="10" t="s">
        <v>128</v>
      </c>
      <c r="C25" s="10">
        <v>7</v>
      </c>
      <c r="D25" s="10">
        <v>7000</v>
      </c>
      <c r="E25" s="10" t="s">
        <v>55</v>
      </c>
      <c r="F25" s="10">
        <v>29</v>
      </c>
      <c r="G25" s="10" t="s">
        <v>56</v>
      </c>
      <c r="H25" s="10">
        <v>29</v>
      </c>
      <c r="I25" s="10" t="s">
        <v>57</v>
      </c>
      <c r="J25" s="10">
        <v>40</v>
      </c>
      <c r="K25" s="10" t="s">
        <v>152</v>
      </c>
      <c r="L25" s="10">
        <v>17</v>
      </c>
      <c r="M25" s="10" t="s">
        <v>150</v>
      </c>
      <c r="N25" s="10">
        <v>34</v>
      </c>
      <c r="O25" s="31" t="str" cm="1">
        <f t="array" ref="O25">_xlfn.LET(_xlpm.search_vals, _xlfn.HSTACK(E25, G25, I25,K25),_xlpm.results, _xlfn.BYCOL(_xlpm.search_vals, _xlfn.LAMBDA(_xlpm.v, _xlfn.XLOOKUP(_xlpm.v, 素材!B:B, 素材!A:A, ""))),"[" &amp; _xlfn.TEXTJOIN(",", TRUE, _xlpm.results) &amp; "]")</f>
        <v>[2,3,4,7]</v>
      </c>
      <c r="P25" s="31" t="str" cm="1">
        <f t="array" ref="P25">_xlfn.LET(_xlpm.search_list, _xlfn.HSTACK(E25, G25, I25,K25), _xlpm.output_list, _xlfn.HSTACK(F25, H25, J25,L25), _xlpm.results, _xlfn.MAP(_xlpm.search_list, _xlpm.output_list, _xlfn.LAMBDA(_xlpm.s,_xlpm.o, IF(ISNUMBER(MATCH(_xlpm.s, 素材!B:B, 0)), _xlpm.o, ""))), "[" &amp; _xlfn.TEXTJOIN(",", TRUE, _xlpm.results) &amp; "]")</f>
        <v>[29,29,40,17]</v>
      </c>
      <c r="Q25" s="31" t="str" cm="1">
        <f t="array" ref="Q25">_xlfn.LET(_xlpm.search_vals, _xlfn.HSTACK(M25),_xlpm.results, _xlfn.BYCOL(_xlpm.search_vals, _xlfn.LAMBDA(_xlpm.v, _xlfn.XLOOKUP(_xlpm.v, 素材!B:B, 素材!A:A, ""))),"[" &amp; _xlfn.TEXTJOIN(",", TRUE, _xlpm.results) &amp; "]")</f>
        <v>[5]</v>
      </c>
      <c r="R25" s="31" t="str" cm="1">
        <f t="array" ref="R25">_xlfn.LET(_xlpm.search_list, _xlfn.HSTACK(M25), _xlpm.output_list, _xlfn.HSTACK(N25), _xlpm.results, _xlfn.MAP(_xlpm.search_list, _xlpm.output_list, _xlfn.LAMBDA(_xlpm.s,_xlpm.o, IF(ISNUMBER(MATCH(_xlpm.s, 素材!B:B, 0)), _xlpm.o, ""))), "[" &amp; _xlfn.TEXTJOIN(",", TRUE, _xlpm.results) &amp; "]")</f>
        <v>[34]</v>
      </c>
      <c r="S25" s="23">
        <f t="shared" si="0"/>
        <v>0.29565217391304349</v>
      </c>
    </row>
    <row r="26" spans="1:19" x14ac:dyDescent="0.2">
      <c r="A26" s="10">
        <f>_xlfn.XLOOKUP(B26, ノード!B:B, ノード!A:A, "")</f>
        <v>4</v>
      </c>
      <c r="B26" s="10" t="s">
        <v>128</v>
      </c>
      <c r="C26" s="10">
        <v>8</v>
      </c>
      <c r="D26" s="10">
        <v>8000</v>
      </c>
      <c r="E26" s="10" t="s">
        <v>55</v>
      </c>
      <c r="F26" s="10">
        <v>40</v>
      </c>
      <c r="G26" s="10" t="s">
        <v>56</v>
      </c>
      <c r="H26" s="10">
        <v>40</v>
      </c>
      <c r="I26" s="10" t="s">
        <v>57</v>
      </c>
      <c r="J26" s="10">
        <v>60</v>
      </c>
      <c r="K26" s="10" t="s">
        <v>152</v>
      </c>
      <c r="L26" s="10">
        <v>23</v>
      </c>
      <c r="M26" s="10" t="s">
        <v>150</v>
      </c>
      <c r="N26" s="10">
        <v>46</v>
      </c>
      <c r="O26" s="31" t="str" cm="1">
        <f t="array" ref="O26">_xlfn.LET(_xlpm.search_vals, _xlfn.HSTACK(E26, G26, I26,K26),_xlpm.results, _xlfn.BYCOL(_xlpm.search_vals, _xlfn.LAMBDA(_xlpm.v, _xlfn.XLOOKUP(_xlpm.v, 素材!B:B, 素材!A:A, ""))),"[" &amp; _xlfn.TEXTJOIN(",", TRUE, _xlpm.results) &amp; "]")</f>
        <v>[2,3,4,7]</v>
      </c>
      <c r="P26" s="31" t="str" cm="1">
        <f t="array" ref="P26">_xlfn.LET(_xlpm.search_list, _xlfn.HSTACK(E26, G26, I26,K26), _xlpm.output_list, _xlfn.HSTACK(F26, H26, J26,L26), _xlpm.results, _xlfn.MAP(_xlpm.search_list, _xlpm.output_list, _xlfn.LAMBDA(_xlpm.s,_xlpm.o, IF(ISNUMBER(MATCH(_xlpm.s, 素材!B:B, 0)), _xlpm.o, ""))), "[" &amp; _xlfn.TEXTJOIN(",", TRUE, _xlpm.results) &amp; "]")</f>
        <v>[40,40,60,23]</v>
      </c>
      <c r="Q26" s="31" t="str" cm="1">
        <f t="array" ref="Q26">_xlfn.LET(_xlpm.search_vals, _xlfn.HSTACK(M26),_xlpm.results, _xlfn.BYCOL(_xlpm.search_vals, _xlfn.LAMBDA(_xlpm.v, _xlfn.XLOOKUP(_xlpm.v, 素材!B:B, 素材!A:A, ""))),"[" &amp; _xlfn.TEXTJOIN(",", TRUE, _xlpm.results) &amp; "]")</f>
        <v>[5]</v>
      </c>
      <c r="R26" s="31" t="str" cm="1">
        <f t="array" ref="R26">_xlfn.LET(_xlpm.search_list, _xlfn.HSTACK(M26), _xlpm.output_list, _xlfn.HSTACK(N26), _xlpm.results, _xlfn.MAP(_xlpm.search_list, _xlpm.output_list, _xlfn.LAMBDA(_xlpm.s,_xlpm.o, IF(ISNUMBER(MATCH(_xlpm.s, 素材!B:B, 0)), _xlpm.o, ""))), "[" &amp; _xlfn.TEXTJOIN(",", TRUE, _xlpm.results) &amp; "]")</f>
        <v>[46]</v>
      </c>
      <c r="S26" s="23">
        <f t="shared" si="0"/>
        <v>0.2822085889570552</v>
      </c>
    </row>
    <row r="27" spans="1:19" x14ac:dyDescent="0.2">
      <c r="A27" s="10">
        <f>_xlfn.XLOOKUP(B27, ノード!B:B, ノード!A:A, "")</f>
        <v>4</v>
      </c>
      <c r="B27" s="10" t="s">
        <v>128</v>
      </c>
      <c r="C27" s="10">
        <v>9</v>
      </c>
      <c r="D27" s="10">
        <v>9000</v>
      </c>
      <c r="E27" s="10" t="s">
        <v>55</v>
      </c>
      <c r="F27" s="10">
        <v>53</v>
      </c>
      <c r="G27" s="10" t="s">
        <v>56</v>
      </c>
      <c r="H27" s="10">
        <v>53</v>
      </c>
      <c r="I27" s="10" t="s">
        <v>57</v>
      </c>
      <c r="J27" s="10">
        <v>80</v>
      </c>
      <c r="K27" s="10" t="s">
        <v>152</v>
      </c>
      <c r="L27" s="10">
        <v>30</v>
      </c>
      <c r="M27" s="10" t="s">
        <v>150</v>
      </c>
      <c r="N27" s="10">
        <v>60</v>
      </c>
      <c r="O27" s="31" t="str" cm="1">
        <f t="array" ref="O27">_xlfn.LET(_xlpm.search_vals, _xlfn.HSTACK(E27, G27, I27,K27),_xlpm.results, _xlfn.BYCOL(_xlpm.search_vals, _xlfn.LAMBDA(_xlpm.v, _xlfn.XLOOKUP(_xlpm.v, 素材!B:B, 素材!A:A, ""))),"[" &amp; _xlfn.TEXTJOIN(",", TRUE, _xlpm.results) &amp; "]")</f>
        <v>[2,3,4,7]</v>
      </c>
      <c r="P27" s="31" t="str" cm="1">
        <f t="array" ref="P27">_xlfn.LET(_xlpm.search_list, _xlfn.HSTACK(E27, G27, I27,K27), _xlpm.output_list, _xlfn.HSTACK(F27, H27, J27,L27), _xlpm.results, _xlfn.MAP(_xlpm.search_list, _xlpm.output_list, _xlfn.LAMBDA(_xlpm.s,_xlpm.o, IF(ISNUMBER(MATCH(_xlpm.s, 素材!B:B, 0)), _xlpm.o, ""))), "[" &amp; _xlfn.TEXTJOIN(",", TRUE, _xlpm.results) &amp; "]")</f>
        <v>[53,53,80,30]</v>
      </c>
      <c r="Q27" s="31" t="str" cm="1">
        <f t="array" ref="Q27">_xlfn.LET(_xlpm.search_vals, _xlfn.HSTACK(M27),_xlpm.results, _xlfn.BYCOL(_xlpm.search_vals, _xlfn.LAMBDA(_xlpm.v, _xlfn.XLOOKUP(_xlpm.v, 素材!B:B, 素材!A:A, ""))),"[" &amp; _xlfn.TEXTJOIN(",", TRUE, _xlpm.results) &amp; "]")</f>
        <v>[5]</v>
      </c>
      <c r="R27" s="31" t="str" cm="1">
        <f t="array" ref="R27">_xlfn.LET(_xlpm.search_list, _xlfn.HSTACK(M27), _xlpm.output_list, _xlfn.HSTACK(N27), _xlpm.results, _xlfn.MAP(_xlpm.search_list, _xlpm.output_list, _xlfn.LAMBDA(_xlpm.s,_xlpm.o, IF(ISNUMBER(MATCH(_xlpm.s, 素材!B:B, 0)), _xlpm.o, ""))), "[" &amp; _xlfn.TEXTJOIN(",", TRUE, _xlpm.results) &amp; "]")</f>
        <v>[60]</v>
      </c>
      <c r="S27" s="23">
        <f t="shared" si="0"/>
        <v>0.27777777777777779</v>
      </c>
    </row>
    <row r="28" spans="1:19" x14ac:dyDescent="0.2">
      <c r="A28" s="10">
        <f>_xlfn.XLOOKUP(B28, ノード!B:B, ノード!A:A, "")</f>
        <v>4</v>
      </c>
      <c r="B28" s="10" t="s">
        <v>128</v>
      </c>
      <c r="C28" s="10">
        <v>10</v>
      </c>
      <c r="D28" s="10">
        <v>10000</v>
      </c>
      <c r="E28" s="10" t="s">
        <v>55</v>
      </c>
      <c r="F28" s="10">
        <v>70</v>
      </c>
      <c r="G28" s="10" t="s">
        <v>56</v>
      </c>
      <c r="H28" s="10">
        <v>70</v>
      </c>
      <c r="I28" s="10" t="s">
        <v>57</v>
      </c>
      <c r="J28" s="10">
        <v>100</v>
      </c>
      <c r="K28" s="10" t="s">
        <v>152</v>
      </c>
      <c r="L28" s="10">
        <v>40</v>
      </c>
      <c r="M28" s="10" t="s">
        <v>150</v>
      </c>
      <c r="N28" s="10">
        <v>76</v>
      </c>
      <c r="O28" s="31" t="str" cm="1">
        <f t="array" ref="O28">_xlfn.LET(_xlpm.search_vals, _xlfn.HSTACK(E28, G28, I28,K28),_xlpm.results, _xlfn.BYCOL(_xlpm.search_vals, _xlfn.LAMBDA(_xlpm.v, _xlfn.XLOOKUP(_xlpm.v, 素材!B:B, 素材!A:A, ""))),"[" &amp; _xlfn.TEXTJOIN(",", TRUE, _xlpm.results) &amp; "]")</f>
        <v>[2,3,4,7]</v>
      </c>
      <c r="P28" s="31" t="str" cm="1">
        <f t="array" ref="P28">_xlfn.LET(_xlpm.search_list, _xlfn.HSTACK(E28, G28, I28,K28), _xlpm.output_list, _xlfn.HSTACK(F28, H28, J28,L28), _xlpm.results, _xlfn.MAP(_xlpm.search_list, _xlpm.output_list, _xlfn.LAMBDA(_xlpm.s,_xlpm.o, IF(ISNUMBER(MATCH(_xlpm.s, 素材!B:B, 0)), _xlpm.o, ""))), "[" &amp; _xlfn.TEXTJOIN(",", TRUE, _xlpm.results) &amp; "]")</f>
        <v>[70,70,100,40]</v>
      </c>
      <c r="Q28" s="31" t="str" cm="1">
        <f t="array" ref="Q28">_xlfn.LET(_xlpm.search_vals, _xlfn.HSTACK(M28),_xlpm.results, _xlfn.BYCOL(_xlpm.search_vals, _xlfn.LAMBDA(_xlpm.v, _xlfn.XLOOKUP(_xlpm.v, 素材!B:B, 素材!A:A, ""))),"[" &amp; _xlfn.TEXTJOIN(",", TRUE, _xlpm.results) &amp; "]")</f>
        <v>[5]</v>
      </c>
      <c r="R28" s="31" t="str" cm="1">
        <f t="array" ref="R28">_xlfn.LET(_xlpm.search_list, _xlfn.HSTACK(M28), _xlpm.output_list, _xlfn.HSTACK(N28), _xlpm.results, _xlfn.MAP(_xlpm.search_list, _xlpm.output_list, _xlfn.LAMBDA(_xlpm.s,_xlpm.o, IF(ISNUMBER(MATCH(_xlpm.s, 素材!B:B, 0)), _xlpm.o, ""))), "[" &amp; _xlfn.TEXTJOIN(",", TRUE, _xlpm.results) &amp; "]")</f>
        <v>[76]</v>
      </c>
      <c r="S28" s="23">
        <f t="shared" si="0"/>
        <v>0.27142857142857141</v>
      </c>
    </row>
    <row r="29" spans="1:19" x14ac:dyDescent="0.2">
      <c r="A29" s="10">
        <f>_xlfn.XLOOKUP(B29, ノード!B:B, ノード!A:A, "")</f>
        <v>5</v>
      </c>
      <c r="B29" s="10" t="s">
        <v>129</v>
      </c>
      <c r="C29" s="10">
        <v>1</v>
      </c>
      <c r="D29" s="10">
        <v>0</v>
      </c>
      <c r="E29" s="10" t="s">
        <v>68</v>
      </c>
      <c r="F29" s="10">
        <v>0</v>
      </c>
      <c r="G29" s="10"/>
      <c r="H29" s="10"/>
      <c r="I29" s="10"/>
      <c r="J29" s="10"/>
      <c r="K29" s="10"/>
      <c r="L29" s="10"/>
      <c r="M29" s="10" t="s">
        <v>68</v>
      </c>
      <c r="N29" s="10">
        <v>0</v>
      </c>
      <c r="O29" s="31" t="str" cm="1">
        <f t="array" ref="O29">_xlfn.LET(_xlpm.search_vals, _xlfn.HSTACK(E29, G29, I29,K29),_xlpm.results, _xlfn.BYCOL(_xlpm.search_vals, _xlfn.LAMBDA(_xlpm.v, _xlfn.XLOOKUP(_xlpm.v, 素材!B:B, 素材!A:A, ""))),"[" &amp; _xlfn.TEXTJOIN(",", TRUE, _xlpm.results) &amp; "]")</f>
        <v>[0]</v>
      </c>
      <c r="P29" s="31" t="str" cm="1">
        <f t="array" ref="P29">_xlfn.LET(_xlpm.search_list, _xlfn.HSTACK(E29, G29, I29,K29), _xlpm.output_list, _xlfn.HSTACK(F29, H29, J29,L29), _xlpm.results, _xlfn.MAP(_xlpm.search_list, _xlpm.output_list, _xlfn.LAMBDA(_xlpm.s,_xlpm.o, IF(ISNUMBER(MATCH(_xlpm.s, 素材!B:B, 0)), _xlpm.o, ""))), "[" &amp; _xlfn.TEXTJOIN(",", TRUE, _xlpm.results) &amp; "]")</f>
        <v>[0]</v>
      </c>
      <c r="Q29" s="31" t="str" cm="1">
        <f t="array" ref="Q29">_xlfn.LET(_xlpm.search_vals, _xlfn.HSTACK(M29),_xlpm.results, _xlfn.BYCOL(_xlpm.search_vals, _xlfn.LAMBDA(_xlpm.v, _xlfn.XLOOKUP(_xlpm.v, 素材!B:B, 素材!A:A, ""))),"[" &amp; _xlfn.TEXTJOIN(",", TRUE, _xlpm.results) &amp; "]")</f>
        <v>[0]</v>
      </c>
      <c r="R29" s="31" t="str" cm="1">
        <f t="array" ref="R29">_xlfn.LET(_xlpm.search_list, _xlfn.HSTACK(M29), _xlpm.output_list, _xlfn.HSTACK(N29), _xlpm.results, _xlfn.MAP(_xlpm.search_list, _xlpm.output_list, _xlfn.LAMBDA(_xlpm.s,_xlpm.o, IF(ISNUMBER(MATCH(_xlpm.s, 素材!B:B, 0)), _xlpm.o, ""))), "[" &amp; _xlfn.TEXTJOIN(",", TRUE, _xlpm.results) &amp; "]")</f>
        <v>[0]</v>
      </c>
      <c r="S29" s="23" t="str">
        <f t="shared" si="0"/>
        <v>-</v>
      </c>
    </row>
    <row r="30" spans="1:19" x14ac:dyDescent="0.2">
      <c r="A30" s="10">
        <f>_xlfn.XLOOKUP(B30, ノード!B:B, ノード!A:A, "")</f>
        <v>6</v>
      </c>
      <c r="B30" s="10" t="s">
        <v>131</v>
      </c>
      <c r="C30" s="10">
        <v>1</v>
      </c>
      <c r="D30" s="10">
        <v>1000</v>
      </c>
      <c r="E30" s="10" t="s">
        <v>56</v>
      </c>
      <c r="F30" s="10">
        <v>2</v>
      </c>
      <c r="G30" s="10" t="s">
        <v>150</v>
      </c>
      <c r="H30" s="10">
        <v>2</v>
      </c>
      <c r="I30" s="10"/>
      <c r="J30" s="10"/>
      <c r="K30" s="10"/>
      <c r="L30" s="10"/>
      <c r="M30" s="10" t="s">
        <v>151</v>
      </c>
      <c r="N30" s="10">
        <v>2</v>
      </c>
      <c r="O30" s="31" t="str" cm="1">
        <f t="array" ref="O30">_xlfn.LET(_xlpm.search_vals, _xlfn.HSTACK(E30, G30, I30,K30),_xlpm.results, _xlfn.BYCOL(_xlpm.search_vals, _xlfn.LAMBDA(_xlpm.v, _xlfn.XLOOKUP(_xlpm.v, 素材!B:B, 素材!A:A, ""))),"[" &amp; _xlfn.TEXTJOIN(",", TRUE, _xlpm.results) &amp; "]")</f>
        <v>[3,5]</v>
      </c>
      <c r="P30" s="31" t="str" cm="1">
        <f t="array" ref="P30">_xlfn.LET(_xlpm.search_list, _xlfn.HSTACK(E30, G30, I30,K30), _xlpm.output_list, _xlfn.HSTACK(F30, H30, J30,L30), _xlpm.results, _xlfn.MAP(_xlpm.search_list, _xlpm.output_list, _xlfn.LAMBDA(_xlpm.s,_xlpm.o, IF(ISNUMBER(MATCH(_xlpm.s, 素材!B:B, 0)), _xlpm.o, ""))), "[" &amp; _xlfn.TEXTJOIN(",", TRUE, _xlpm.results) &amp; "]")</f>
        <v>[2,2]</v>
      </c>
      <c r="Q30" s="31" t="str" cm="1">
        <f t="array" ref="Q30">_xlfn.LET(_xlpm.search_vals, _xlfn.HSTACK(M30),_xlpm.results, _xlfn.BYCOL(_xlpm.search_vals, _xlfn.LAMBDA(_xlpm.v, _xlfn.XLOOKUP(_xlpm.v, 素材!B:B, 素材!A:A, ""))),"[" &amp; _xlfn.TEXTJOIN(",", TRUE, _xlpm.results) &amp; "]")</f>
        <v>[6]</v>
      </c>
      <c r="R30" s="31" t="str" cm="1">
        <f t="array" ref="R30">_xlfn.LET(_xlpm.search_list, _xlfn.HSTACK(M30), _xlpm.output_list, _xlfn.HSTACK(N30), _xlpm.results, _xlfn.MAP(_xlpm.search_list, _xlpm.output_list, _xlfn.LAMBDA(_xlpm.s,_xlpm.o, IF(ISNUMBER(MATCH(_xlpm.s, 素材!B:B, 0)), _xlpm.o, ""))), "[" &amp; _xlfn.TEXTJOIN(",", TRUE, _xlpm.results) &amp; "]")</f>
        <v>[2]</v>
      </c>
      <c r="S30" s="23">
        <f t="shared" si="0"/>
        <v>0.5</v>
      </c>
    </row>
    <row r="31" spans="1:19" x14ac:dyDescent="0.2">
      <c r="A31" s="10">
        <f>_xlfn.XLOOKUP(B31, ノード!B:B, ノード!A:A, "")</f>
        <v>6</v>
      </c>
      <c r="B31" s="10" t="s">
        <v>131</v>
      </c>
      <c r="C31" s="10">
        <v>2</v>
      </c>
      <c r="D31" s="10">
        <v>2000</v>
      </c>
      <c r="E31" s="10" t="s">
        <v>56</v>
      </c>
      <c r="F31" s="10">
        <v>3</v>
      </c>
      <c r="G31" s="10" t="s">
        <v>150</v>
      </c>
      <c r="H31" s="10">
        <v>3</v>
      </c>
      <c r="I31" s="10"/>
      <c r="J31" s="10"/>
      <c r="K31" s="10"/>
      <c r="L31" s="10"/>
      <c r="M31" s="10" t="s">
        <v>151</v>
      </c>
      <c r="N31" s="10">
        <v>3</v>
      </c>
      <c r="O31" s="31" t="str" cm="1">
        <f t="array" ref="O31">_xlfn.LET(_xlpm.search_vals, _xlfn.HSTACK(E31, G31, I31,K31),_xlpm.results, _xlfn.BYCOL(_xlpm.search_vals, _xlfn.LAMBDA(_xlpm.v, _xlfn.XLOOKUP(_xlpm.v, 素材!B:B, 素材!A:A, ""))),"[" &amp; _xlfn.TEXTJOIN(",", TRUE, _xlpm.results) &amp; "]")</f>
        <v>[3,5]</v>
      </c>
      <c r="P31" s="31" t="str" cm="1">
        <f t="array" ref="P31">_xlfn.LET(_xlpm.search_list, _xlfn.HSTACK(E31, G31, I31,K31), _xlpm.output_list, _xlfn.HSTACK(F31, H31, J31,L31), _xlpm.results, _xlfn.MAP(_xlpm.search_list, _xlpm.output_list, _xlfn.LAMBDA(_xlpm.s,_xlpm.o, IF(ISNUMBER(MATCH(_xlpm.s, 素材!B:B, 0)), _xlpm.o, ""))), "[" &amp; _xlfn.TEXTJOIN(",", TRUE, _xlpm.results) &amp; "]")</f>
        <v>[3,3]</v>
      </c>
      <c r="Q31" s="31" t="str" cm="1">
        <f t="array" ref="Q31">_xlfn.LET(_xlpm.search_vals, _xlfn.HSTACK(M31),_xlpm.results, _xlfn.BYCOL(_xlpm.search_vals, _xlfn.LAMBDA(_xlpm.v, _xlfn.XLOOKUP(_xlpm.v, 素材!B:B, 素材!A:A, ""))),"[" &amp; _xlfn.TEXTJOIN(",", TRUE, _xlpm.results) &amp; "]")</f>
        <v>[6]</v>
      </c>
      <c r="R31" s="31" t="str" cm="1">
        <f t="array" ref="R31">_xlfn.LET(_xlpm.search_list, _xlfn.HSTACK(M31), _xlpm.output_list, _xlfn.HSTACK(N31), _xlpm.results, _xlfn.MAP(_xlpm.search_list, _xlpm.output_list, _xlfn.LAMBDA(_xlpm.s,_xlpm.o, IF(ISNUMBER(MATCH(_xlpm.s, 素材!B:B, 0)), _xlpm.o, ""))), "[" &amp; _xlfn.TEXTJOIN(",", TRUE, _xlpm.results) &amp; "]")</f>
        <v>[3]</v>
      </c>
      <c r="S31" s="23">
        <f t="shared" si="0"/>
        <v>0.5</v>
      </c>
    </row>
    <row r="32" spans="1:19" x14ac:dyDescent="0.2">
      <c r="A32" s="10">
        <f>_xlfn.XLOOKUP(B32, ノード!B:B, ノード!A:A, "")</f>
        <v>6</v>
      </c>
      <c r="B32" s="10" t="s">
        <v>131</v>
      </c>
      <c r="C32" s="10">
        <v>3</v>
      </c>
      <c r="D32" s="10">
        <v>3000</v>
      </c>
      <c r="E32" s="10" t="s">
        <v>56</v>
      </c>
      <c r="F32" s="10">
        <v>4</v>
      </c>
      <c r="G32" s="10" t="s">
        <v>150</v>
      </c>
      <c r="H32" s="10">
        <v>4</v>
      </c>
      <c r="I32" s="10"/>
      <c r="J32" s="10"/>
      <c r="K32" s="10"/>
      <c r="L32" s="10"/>
      <c r="M32" s="10" t="s">
        <v>151</v>
      </c>
      <c r="N32" s="10">
        <v>4</v>
      </c>
      <c r="O32" s="31" t="str" cm="1">
        <f t="array" ref="O32">_xlfn.LET(_xlpm.search_vals, _xlfn.HSTACK(E32, G32, I32,K32),_xlpm.results, _xlfn.BYCOL(_xlpm.search_vals, _xlfn.LAMBDA(_xlpm.v, _xlfn.XLOOKUP(_xlpm.v, 素材!B:B, 素材!A:A, ""))),"[" &amp; _xlfn.TEXTJOIN(",", TRUE, _xlpm.results) &amp; "]")</f>
        <v>[3,5]</v>
      </c>
      <c r="P32" s="31" t="str" cm="1">
        <f t="array" ref="P32">_xlfn.LET(_xlpm.search_list, _xlfn.HSTACK(E32, G32, I32,K32), _xlpm.output_list, _xlfn.HSTACK(F32, H32, J32,L32), _xlpm.results, _xlfn.MAP(_xlpm.search_list, _xlpm.output_list, _xlfn.LAMBDA(_xlpm.s,_xlpm.o, IF(ISNUMBER(MATCH(_xlpm.s, 素材!B:B, 0)), _xlpm.o, ""))), "[" &amp; _xlfn.TEXTJOIN(",", TRUE, _xlpm.results) &amp; "]")</f>
        <v>[4,4]</v>
      </c>
      <c r="Q32" s="31" t="str" cm="1">
        <f t="array" ref="Q32">_xlfn.LET(_xlpm.search_vals, _xlfn.HSTACK(M32),_xlpm.results, _xlfn.BYCOL(_xlpm.search_vals, _xlfn.LAMBDA(_xlpm.v, _xlfn.XLOOKUP(_xlpm.v, 素材!B:B, 素材!A:A, ""))),"[" &amp; _xlfn.TEXTJOIN(",", TRUE, _xlpm.results) &amp; "]")</f>
        <v>[6]</v>
      </c>
      <c r="R32" s="31" t="str" cm="1">
        <f t="array" ref="R32">_xlfn.LET(_xlpm.search_list, _xlfn.HSTACK(M32), _xlpm.output_list, _xlfn.HSTACK(N32), _xlpm.results, _xlfn.MAP(_xlpm.search_list, _xlpm.output_list, _xlfn.LAMBDA(_xlpm.s,_xlpm.o, IF(ISNUMBER(MATCH(_xlpm.s, 素材!B:B, 0)), _xlpm.o, ""))), "[" &amp; _xlfn.TEXTJOIN(",", TRUE, _xlpm.results) &amp; "]")</f>
        <v>[4]</v>
      </c>
      <c r="S32" s="23">
        <f t="shared" si="0"/>
        <v>0.5</v>
      </c>
    </row>
    <row r="33" spans="1:19" x14ac:dyDescent="0.2">
      <c r="A33" s="10">
        <f>_xlfn.XLOOKUP(B33, ノード!B:B, ノード!A:A, "")</f>
        <v>6</v>
      </c>
      <c r="B33" s="10" t="s">
        <v>131</v>
      </c>
      <c r="C33" s="10">
        <v>4</v>
      </c>
      <c r="D33" s="10">
        <v>4000</v>
      </c>
      <c r="E33" s="10" t="s">
        <v>56</v>
      </c>
      <c r="F33" s="10">
        <v>5</v>
      </c>
      <c r="G33" s="10" t="s">
        <v>150</v>
      </c>
      <c r="H33" s="10">
        <v>5</v>
      </c>
      <c r="I33" s="10"/>
      <c r="J33" s="10"/>
      <c r="K33" s="10"/>
      <c r="L33" s="10"/>
      <c r="M33" s="10" t="s">
        <v>151</v>
      </c>
      <c r="N33" s="10">
        <v>5</v>
      </c>
      <c r="O33" s="31" t="str" cm="1">
        <f t="array" ref="O33">_xlfn.LET(_xlpm.search_vals, _xlfn.HSTACK(E33, G33, I33,K33),_xlpm.results, _xlfn.BYCOL(_xlpm.search_vals, _xlfn.LAMBDA(_xlpm.v, _xlfn.XLOOKUP(_xlpm.v, 素材!B:B, 素材!A:A, ""))),"[" &amp; _xlfn.TEXTJOIN(",", TRUE, _xlpm.results) &amp; "]")</f>
        <v>[3,5]</v>
      </c>
      <c r="P33" s="31" t="str" cm="1">
        <f t="array" ref="P33">_xlfn.LET(_xlpm.search_list, _xlfn.HSTACK(E33, G33, I33,K33), _xlpm.output_list, _xlfn.HSTACK(F33, H33, J33,L33), _xlpm.results, _xlfn.MAP(_xlpm.search_list, _xlpm.output_list, _xlfn.LAMBDA(_xlpm.s,_xlpm.o, IF(ISNUMBER(MATCH(_xlpm.s, 素材!B:B, 0)), _xlpm.o, ""))), "[" &amp; _xlfn.TEXTJOIN(",", TRUE, _xlpm.results) &amp; "]")</f>
        <v>[5,5]</v>
      </c>
      <c r="Q33" s="31" t="str" cm="1">
        <f t="array" ref="Q33">_xlfn.LET(_xlpm.search_vals, _xlfn.HSTACK(M33),_xlpm.results, _xlfn.BYCOL(_xlpm.search_vals, _xlfn.LAMBDA(_xlpm.v, _xlfn.XLOOKUP(_xlpm.v, 素材!B:B, 素材!A:A, ""))),"[" &amp; _xlfn.TEXTJOIN(",", TRUE, _xlpm.results) &amp; "]")</f>
        <v>[6]</v>
      </c>
      <c r="R33" s="31" t="str" cm="1">
        <f t="array" ref="R33">_xlfn.LET(_xlpm.search_list, _xlfn.HSTACK(M33), _xlpm.output_list, _xlfn.HSTACK(N33), _xlpm.results, _xlfn.MAP(_xlpm.search_list, _xlpm.output_list, _xlfn.LAMBDA(_xlpm.s,_xlpm.o, IF(ISNUMBER(MATCH(_xlpm.s, 素材!B:B, 0)), _xlpm.o, ""))), "[" &amp; _xlfn.TEXTJOIN(",", TRUE, _xlpm.results) &amp; "]")</f>
        <v>[5]</v>
      </c>
      <c r="S33" s="23">
        <f t="shared" si="0"/>
        <v>0.5</v>
      </c>
    </row>
    <row r="34" spans="1:19" x14ac:dyDescent="0.2">
      <c r="A34" s="10">
        <f>_xlfn.XLOOKUP(B34, ノード!B:B, ノード!A:A, "")</f>
        <v>6</v>
      </c>
      <c r="B34" s="10" t="s">
        <v>131</v>
      </c>
      <c r="C34" s="10">
        <v>5</v>
      </c>
      <c r="D34" s="10">
        <v>5000</v>
      </c>
      <c r="E34" s="10" t="s">
        <v>56</v>
      </c>
      <c r="F34" s="10">
        <v>6</v>
      </c>
      <c r="G34" s="10" t="s">
        <v>150</v>
      </c>
      <c r="H34" s="10">
        <v>6</v>
      </c>
      <c r="I34" s="10" t="s">
        <v>152</v>
      </c>
      <c r="J34" s="10">
        <v>2</v>
      </c>
      <c r="K34" s="10"/>
      <c r="L34" s="10"/>
      <c r="M34" s="10" t="s">
        <v>151</v>
      </c>
      <c r="N34" s="10">
        <v>6</v>
      </c>
      <c r="O34" s="31" t="str" cm="1">
        <f t="array" ref="O34">_xlfn.LET(_xlpm.search_vals, _xlfn.HSTACK(E34, G34, I34,K34),_xlpm.results, _xlfn.BYCOL(_xlpm.search_vals, _xlfn.LAMBDA(_xlpm.v, _xlfn.XLOOKUP(_xlpm.v, 素材!B:B, 素材!A:A, ""))),"[" &amp; _xlfn.TEXTJOIN(",", TRUE, _xlpm.results) &amp; "]")</f>
        <v>[3,5,7]</v>
      </c>
      <c r="P34" s="31" t="str" cm="1">
        <f t="array" ref="P34">_xlfn.LET(_xlpm.search_list, _xlfn.HSTACK(E34, G34, I34,K34), _xlpm.output_list, _xlfn.HSTACK(F34, H34, J34,L34), _xlpm.results, _xlfn.MAP(_xlpm.search_list, _xlpm.output_list, _xlfn.LAMBDA(_xlpm.s,_xlpm.o, IF(ISNUMBER(MATCH(_xlpm.s, 素材!B:B, 0)), _xlpm.o, ""))), "[" &amp; _xlfn.TEXTJOIN(",", TRUE, _xlpm.results) &amp; "]")</f>
        <v>[6,6,2]</v>
      </c>
      <c r="Q34" s="31" t="str" cm="1">
        <f t="array" ref="Q34">_xlfn.LET(_xlpm.search_vals, _xlfn.HSTACK(M34),_xlpm.results, _xlfn.BYCOL(_xlpm.search_vals, _xlfn.LAMBDA(_xlpm.v, _xlfn.XLOOKUP(_xlpm.v, 素材!B:B, 素材!A:A, ""))),"[" &amp; _xlfn.TEXTJOIN(",", TRUE, _xlpm.results) &amp; "]")</f>
        <v>[6]</v>
      </c>
      <c r="R34" s="31" t="str" cm="1">
        <f t="array" ref="R34">_xlfn.LET(_xlpm.search_list, _xlfn.HSTACK(M34), _xlpm.output_list, _xlfn.HSTACK(N34), _xlpm.results, _xlfn.MAP(_xlpm.search_list, _xlpm.output_list, _xlfn.LAMBDA(_xlpm.s,_xlpm.o, IF(ISNUMBER(MATCH(_xlpm.s, 素材!B:B, 0)), _xlpm.o, ""))), "[" &amp; _xlfn.TEXTJOIN(",", TRUE, _xlpm.results) &amp; "]")</f>
        <v>[6]</v>
      </c>
      <c r="S34" s="23">
        <f t="shared" si="0"/>
        <v>0.42857142857142855</v>
      </c>
    </row>
    <row r="35" spans="1:19" x14ac:dyDescent="0.2">
      <c r="A35" s="10">
        <f>_xlfn.XLOOKUP(B35, ノード!B:B, ノード!A:A, "")</f>
        <v>6</v>
      </c>
      <c r="B35" s="10" t="s">
        <v>131</v>
      </c>
      <c r="C35" s="10">
        <v>6</v>
      </c>
      <c r="D35" s="10">
        <v>6000</v>
      </c>
      <c r="E35" s="10" t="s">
        <v>56</v>
      </c>
      <c r="F35" s="10">
        <v>7</v>
      </c>
      <c r="G35" s="10" t="s">
        <v>150</v>
      </c>
      <c r="H35" s="10">
        <v>7</v>
      </c>
      <c r="I35" s="10" t="s">
        <v>152</v>
      </c>
      <c r="J35" s="10">
        <v>4</v>
      </c>
      <c r="K35" s="10"/>
      <c r="L35" s="10"/>
      <c r="M35" s="10" t="s">
        <v>151</v>
      </c>
      <c r="N35" s="10">
        <v>7</v>
      </c>
      <c r="O35" s="31" t="str" cm="1">
        <f t="array" ref="O35">_xlfn.LET(_xlpm.search_vals, _xlfn.HSTACK(E35, G35, I35,K35),_xlpm.results, _xlfn.BYCOL(_xlpm.search_vals, _xlfn.LAMBDA(_xlpm.v, _xlfn.XLOOKUP(_xlpm.v, 素材!B:B, 素材!A:A, ""))),"[" &amp; _xlfn.TEXTJOIN(",", TRUE, _xlpm.results) &amp; "]")</f>
        <v>[3,5,7]</v>
      </c>
      <c r="P35" s="31" t="str" cm="1">
        <f t="array" ref="P35">_xlfn.LET(_xlpm.search_list, _xlfn.HSTACK(E35, G35, I35,K35), _xlpm.output_list, _xlfn.HSTACK(F35, H35, J35,L35), _xlpm.results, _xlfn.MAP(_xlpm.search_list, _xlpm.output_list, _xlfn.LAMBDA(_xlpm.s,_xlpm.o, IF(ISNUMBER(MATCH(_xlpm.s, 素材!B:B, 0)), _xlpm.o, ""))), "[" &amp; _xlfn.TEXTJOIN(",", TRUE, _xlpm.results) &amp; "]")</f>
        <v>[7,7,4]</v>
      </c>
      <c r="Q35" s="31" t="str" cm="1">
        <f t="array" ref="Q35">_xlfn.LET(_xlpm.search_vals, _xlfn.HSTACK(M35),_xlpm.results, _xlfn.BYCOL(_xlpm.search_vals, _xlfn.LAMBDA(_xlpm.v, _xlfn.XLOOKUP(_xlpm.v, 素材!B:B, 素材!A:A, ""))),"[" &amp; _xlfn.TEXTJOIN(",", TRUE, _xlpm.results) &amp; "]")</f>
        <v>[6]</v>
      </c>
      <c r="R35" s="31" t="str" cm="1">
        <f t="array" ref="R35">_xlfn.LET(_xlpm.search_list, _xlfn.HSTACK(M35), _xlpm.output_list, _xlfn.HSTACK(N35), _xlpm.results, _xlfn.MAP(_xlpm.search_list, _xlpm.output_list, _xlfn.LAMBDA(_xlpm.s,_xlpm.o, IF(ISNUMBER(MATCH(_xlpm.s, 素材!B:B, 0)), _xlpm.o, ""))), "[" &amp; _xlfn.TEXTJOIN(",", TRUE, _xlpm.results) &amp; "]")</f>
        <v>[7]</v>
      </c>
      <c r="S35" s="23">
        <f t="shared" si="0"/>
        <v>0.3888888888888889</v>
      </c>
    </row>
    <row r="36" spans="1:19" x14ac:dyDescent="0.2">
      <c r="A36" s="10">
        <f>_xlfn.XLOOKUP(B36, ノード!B:B, ノード!A:A, "")</f>
        <v>6</v>
      </c>
      <c r="B36" s="10" t="s">
        <v>131</v>
      </c>
      <c r="C36" s="10">
        <v>7</v>
      </c>
      <c r="D36" s="10">
        <v>7000</v>
      </c>
      <c r="E36" s="10" t="s">
        <v>56</v>
      </c>
      <c r="F36" s="10">
        <v>8</v>
      </c>
      <c r="G36" s="10" t="s">
        <v>150</v>
      </c>
      <c r="H36" s="10">
        <v>8</v>
      </c>
      <c r="I36" s="10" t="s">
        <v>152</v>
      </c>
      <c r="J36" s="10">
        <v>6</v>
      </c>
      <c r="K36" s="10"/>
      <c r="L36" s="10"/>
      <c r="M36" s="10" t="s">
        <v>151</v>
      </c>
      <c r="N36" s="10">
        <v>8</v>
      </c>
      <c r="O36" s="31" t="str" cm="1">
        <f t="array" ref="O36">_xlfn.LET(_xlpm.search_vals, _xlfn.HSTACK(E36, G36, I36,K36),_xlpm.results, _xlfn.BYCOL(_xlpm.search_vals, _xlfn.LAMBDA(_xlpm.v, _xlfn.XLOOKUP(_xlpm.v, 素材!B:B, 素材!A:A, ""))),"[" &amp; _xlfn.TEXTJOIN(",", TRUE, _xlpm.results) &amp; "]")</f>
        <v>[3,5,7]</v>
      </c>
      <c r="P36" s="31" t="str" cm="1">
        <f t="array" ref="P36">_xlfn.LET(_xlpm.search_list, _xlfn.HSTACK(E36, G36, I36,K36), _xlpm.output_list, _xlfn.HSTACK(F36, H36, J36,L36), _xlpm.results, _xlfn.MAP(_xlpm.search_list, _xlpm.output_list, _xlfn.LAMBDA(_xlpm.s,_xlpm.o, IF(ISNUMBER(MATCH(_xlpm.s, 素材!B:B, 0)), _xlpm.o, ""))), "[" &amp; _xlfn.TEXTJOIN(",", TRUE, _xlpm.results) &amp; "]")</f>
        <v>[8,8,6]</v>
      </c>
      <c r="Q36" s="31" t="str" cm="1">
        <f t="array" ref="Q36">_xlfn.LET(_xlpm.search_vals, _xlfn.HSTACK(M36),_xlpm.results, _xlfn.BYCOL(_xlpm.search_vals, _xlfn.LAMBDA(_xlpm.v, _xlfn.XLOOKUP(_xlpm.v, 素材!B:B, 素材!A:A, ""))),"[" &amp; _xlfn.TEXTJOIN(",", TRUE, _xlpm.results) &amp; "]")</f>
        <v>[6]</v>
      </c>
      <c r="R36" s="31" t="str" cm="1">
        <f t="array" ref="R36">_xlfn.LET(_xlpm.search_list, _xlfn.HSTACK(M36), _xlpm.output_list, _xlfn.HSTACK(N36), _xlpm.results, _xlfn.MAP(_xlpm.search_list, _xlpm.output_list, _xlfn.LAMBDA(_xlpm.s,_xlpm.o, IF(ISNUMBER(MATCH(_xlpm.s, 素材!B:B, 0)), _xlpm.o, ""))), "[" &amp; _xlfn.TEXTJOIN(",", TRUE, _xlpm.results) &amp; "]")</f>
        <v>[8]</v>
      </c>
      <c r="S36" s="23">
        <f t="shared" si="0"/>
        <v>0.36363636363636365</v>
      </c>
    </row>
    <row r="37" spans="1:19" x14ac:dyDescent="0.2">
      <c r="A37" s="10">
        <f>_xlfn.XLOOKUP(B37, ノード!B:B, ノード!A:A, "")</f>
        <v>6</v>
      </c>
      <c r="B37" s="10" t="s">
        <v>131</v>
      </c>
      <c r="C37" s="10">
        <v>8</v>
      </c>
      <c r="D37" s="10">
        <v>8000</v>
      </c>
      <c r="E37" s="10" t="s">
        <v>56</v>
      </c>
      <c r="F37" s="10">
        <v>9</v>
      </c>
      <c r="G37" s="10" t="s">
        <v>150</v>
      </c>
      <c r="H37" s="10">
        <v>9</v>
      </c>
      <c r="I37" s="10" t="s">
        <v>152</v>
      </c>
      <c r="J37" s="10">
        <v>8</v>
      </c>
      <c r="K37" s="10"/>
      <c r="L37" s="10"/>
      <c r="M37" s="10" t="s">
        <v>151</v>
      </c>
      <c r="N37" s="10">
        <v>9</v>
      </c>
      <c r="O37" s="31" t="str" cm="1">
        <f t="array" ref="O37">_xlfn.LET(_xlpm.search_vals, _xlfn.HSTACK(E37, G37, I37,K37),_xlpm.results, _xlfn.BYCOL(_xlpm.search_vals, _xlfn.LAMBDA(_xlpm.v, _xlfn.XLOOKUP(_xlpm.v, 素材!B:B, 素材!A:A, ""))),"[" &amp; _xlfn.TEXTJOIN(",", TRUE, _xlpm.results) &amp; "]")</f>
        <v>[3,5,7]</v>
      </c>
      <c r="P37" s="31" t="str" cm="1">
        <f t="array" ref="P37">_xlfn.LET(_xlpm.search_list, _xlfn.HSTACK(E37, G37, I37,K37), _xlpm.output_list, _xlfn.HSTACK(F37, H37, J37,L37), _xlpm.results, _xlfn.MAP(_xlpm.search_list, _xlpm.output_list, _xlfn.LAMBDA(_xlpm.s,_xlpm.o, IF(ISNUMBER(MATCH(_xlpm.s, 素材!B:B, 0)), _xlpm.o, ""))), "[" &amp; _xlfn.TEXTJOIN(",", TRUE, _xlpm.results) &amp; "]")</f>
        <v>[9,9,8]</v>
      </c>
      <c r="Q37" s="31" t="str" cm="1">
        <f t="array" ref="Q37">_xlfn.LET(_xlpm.search_vals, _xlfn.HSTACK(M37),_xlpm.results, _xlfn.BYCOL(_xlpm.search_vals, _xlfn.LAMBDA(_xlpm.v, _xlfn.XLOOKUP(_xlpm.v, 素材!B:B, 素材!A:A, ""))),"[" &amp; _xlfn.TEXTJOIN(",", TRUE, _xlpm.results) &amp; "]")</f>
        <v>[6]</v>
      </c>
      <c r="R37" s="31" t="str" cm="1">
        <f t="array" ref="R37">_xlfn.LET(_xlpm.search_list, _xlfn.HSTACK(M37), _xlpm.output_list, _xlfn.HSTACK(N37), _xlpm.results, _xlfn.MAP(_xlpm.search_list, _xlpm.output_list, _xlfn.LAMBDA(_xlpm.s,_xlpm.o, IF(ISNUMBER(MATCH(_xlpm.s, 素材!B:B, 0)), _xlpm.o, ""))), "[" &amp; _xlfn.TEXTJOIN(",", TRUE, _xlpm.results) &amp; "]")</f>
        <v>[9]</v>
      </c>
      <c r="S37" s="23">
        <f t="shared" si="0"/>
        <v>0.34615384615384615</v>
      </c>
    </row>
    <row r="38" spans="1:19" x14ac:dyDescent="0.2">
      <c r="A38" s="10">
        <f>_xlfn.XLOOKUP(B38, ノード!B:B, ノード!A:A, "")</f>
        <v>6</v>
      </c>
      <c r="B38" s="10" t="s">
        <v>131</v>
      </c>
      <c r="C38" s="10">
        <v>9</v>
      </c>
      <c r="D38" s="10">
        <v>9000</v>
      </c>
      <c r="E38" s="10" t="s">
        <v>56</v>
      </c>
      <c r="F38" s="10">
        <v>10</v>
      </c>
      <c r="G38" s="10" t="s">
        <v>150</v>
      </c>
      <c r="H38" s="10">
        <v>10</v>
      </c>
      <c r="I38" s="10" t="s">
        <v>152</v>
      </c>
      <c r="J38" s="10">
        <v>10</v>
      </c>
      <c r="K38" s="10"/>
      <c r="L38" s="10"/>
      <c r="M38" s="10" t="s">
        <v>151</v>
      </c>
      <c r="N38" s="10">
        <v>10</v>
      </c>
      <c r="O38" s="31" t="str" cm="1">
        <f t="array" ref="O38">_xlfn.LET(_xlpm.search_vals, _xlfn.HSTACK(E38, G38, I38,K38),_xlpm.results, _xlfn.BYCOL(_xlpm.search_vals, _xlfn.LAMBDA(_xlpm.v, _xlfn.XLOOKUP(_xlpm.v, 素材!B:B, 素材!A:A, ""))),"[" &amp; _xlfn.TEXTJOIN(",", TRUE, _xlpm.results) &amp; "]")</f>
        <v>[3,5,7]</v>
      </c>
      <c r="P38" s="31" t="str" cm="1">
        <f t="array" ref="P38">_xlfn.LET(_xlpm.search_list, _xlfn.HSTACK(E38, G38, I38,K38), _xlpm.output_list, _xlfn.HSTACK(F38, H38, J38,L38), _xlpm.results, _xlfn.MAP(_xlpm.search_list, _xlpm.output_list, _xlfn.LAMBDA(_xlpm.s,_xlpm.o, IF(ISNUMBER(MATCH(_xlpm.s, 素材!B:B, 0)), _xlpm.o, ""))), "[" &amp; _xlfn.TEXTJOIN(",", TRUE, _xlpm.results) &amp; "]")</f>
        <v>[10,10,10]</v>
      </c>
      <c r="Q38" s="31" t="str" cm="1">
        <f t="array" ref="Q38">_xlfn.LET(_xlpm.search_vals, _xlfn.HSTACK(M38),_xlpm.results, _xlfn.BYCOL(_xlpm.search_vals, _xlfn.LAMBDA(_xlpm.v, _xlfn.XLOOKUP(_xlpm.v, 素材!B:B, 素材!A:A, ""))),"[" &amp; _xlfn.TEXTJOIN(",", TRUE, _xlpm.results) &amp; "]")</f>
        <v>[6]</v>
      </c>
      <c r="R38" s="31" t="str" cm="1">
        <f t="array" ref="R38">_xlfn.LET(_xlpm.search_list, _xlfn.HSTACK(M38), _xlpm.output_list, _xlfn.HSTACK(N38), _xlpm.results, _xlfn.MAP(_xlpm.search_list, _xlpm.output_list, _xlfn.LAMBDA(_xlpm.s,_xlpm.o, IF(ISNUMBER(MATCH(_xlpm.s, 素材!B:B, 0)), _xlpm.o, ""))), "[" &amp; _xlfn.TEXTJOIN(",", TRUE, _xlpm.results) &amp; "]")</f>
        <v>[10]</v>
      </c>
      <c r="S38" s="23">
        <f t="shared" si="0"/>
        <v>0.33333333333333331</v>
      </c>
    </row>
    <row r="39" spans="1:19" x14ac:dyDescent="0.2">
      <c r="A39" s="10">
        <f>_xlfn.XLOOKUP(B39, ノード!B:B, ノード!A:A, "")</f>
        <v>6</v>
      </c>
      <c r="B39" s="10" t="s">
        <v>131</v>
      </c>
      <c r="C39" s="10">
        <v>10</v>
      </c>
      <c r="D39" s="10">
        <v>10000</v>
      </c>
      <c r="E39" s="10" t="s">
        <v>56</v>
      </c>
      <c r="F39" s="10">
        <v>11</v>
      </c>
      <c r="G39" s="10" t="s">
        <v>150</v>
      </c>
      <c r="H39" s="10">
        <v>11</v>
      </c>
      <c r="I39" s="10" t="s">
        <v>152</v>
      </c>
      <c r="J39" s="10">
        <v>15</v>
      </c>
      <c r="K39" s="10"/>
      <c r="L39" s="10"/>
      <c r="M39" s="10" t="s">
        <v>151</v>
      </c>
      <c r="N39" s="10">
        <v>11</v>
      </c>
      <c r="O39" s="31" t="str" cm="1">
        <f t="array" ref="O39">_xlfn.LET(_xlpm.search_vals, _xlfn.HSTACK(E39, G39, I39,K39),_xlpm.results, _xlfn.BYCOL(_xlpm.search_vals, _xlfn.LAMBDA(_xlpm.v, _xlfn.XLOOKUP(_xlpm.v, 素材!B:B, 素材!A:A, ""))),"[" &amp; _xlfn.TEXTJOIN(",", TRUE, _xlpm.results) &amp; "]")</f>
        <v>[3,5,7]</v>
      </c>
      <c r="P39" s="31" t="str" cm="1">
        <f t="array" ref="P39">_xlfn.LET(_xlpm.search_list, _xlfn.HSTACK(E39, G39, I39,K39), _xlpm.output_list, _xlfn.HSTACK(F39, H39, J39,L39), _xlpm.results, _xlfn.MAP(_xlpm.search_list, _xlpm.output_list, _xlfn.LAMBDA(_xlpm.s,_xlpm.o, IF(ISNUMBER(MATCH(_xlpm.s, 素材!B:B, 0)), _xlpm.o, ""))), "[" &amp; _xlfn.TEXTJOIN(",", TRUE, _xlpm.results) &amp; "]")</f>
        <v>[11,11,15]</v>
      </c>
      <c r="Q39" s="31" t="str" cm="1">
        <f t="array" ref="Q39">_xlfn.LET(_xlpm.search_vals, _xlfn.HSTACK(M39),_xlpm.results, _xlfn.BYCOL(_xlpm.search_vals, _xlfn.LAMBDA(_xlpm.v, _xlfn.XLOOKUP(_xlpm.v, 素材!B:B, 素材!A:A, ""))),"[" &amp; _xlfn.TEXTJOIN(",", TRUE, _xlpm.results) &amp; "]")</f>
        <v>[6]</v>
      </c>
      <c r="R39" s="31" t="str" cm="1">
        <f t="array" ref="R39">_xlfn.LET(_xlpm.search_list, _xlfn.HSTACK(M39), _xlpm.output_list, _xlfn.HSTACK(N39), _xlpm.results, _xlfn.MAP(_xlpm.search_list, _xlpm.output_list, _xlfn.LAMBDA(_xlpm.s,_xlpm.o, IF(ISNUMBER(MATCH(_xlpm.s, 素材!B:B, 0)), _xlpm.o, ""))), "[" &amp; _xlfn.TEXTJOIN(",", TRUE, _xlpm.results) &amp; "]")</f>
        <v>[11]</v>
      </c>
      <c r="S39" s="23">
        <f t="shared" si="0"/>
        <v>0.29729729729729731</v>
      </c>
    </row>
    <row r="40" spans="1:19" x14ac:dyDescent="0.2">
      <c r="A40" s="10">
        <f>_xlfn.XLOOKUP(B40, ノード!B:B, ノード!A:A, "")</f>
        <v>7</v>
      </c>
      <c r="B40" s="10" t="s">
        <v>132</v>
      </c>
      <c r="C40" s="10">
        <v>1</v>
      </c>
      <c r="D40" s="10">
        <v>1000</v>
      </c>
      <c r="E40" s="10" t="s">
        <v>56</v>
      </c>
      <c r="F40" s="10">
        <v>13</v>
      </c>
      <c r="G40" s="10" t="s">
        <v>151</v>
      </c>
      <c r="H40" s="10">
        <v>13</v>
      </c>
      <c r="I40" s="10" t="s">
        <v>150</v>
      </c>
      <c r="J40" s="10">
        <v>13</v>
      </c>
      <c r="K40" s="10"/>
      <c r="L40" s="10"/>
      <c r="M40" s="10" t="s">
        <v>64</v>
      </c>
      <c r="N40" s="10">
        <v>13</v>
      </c>
      <c r="O40" s="31" t="str" cm="1">
        <f t="array" ref="O40">_xlfn.LET(_xlpm.search_vals, _xlfn.HSTACK(E40, G40, I40,K40),_xlpm.results, _xlfn.BYCOL(_xlpm.search_vals, _xlfn.LAMBDA(_xlpm.v, _xlfn.XLOOKUP(_xlpm.v, 素材!B:B, 素材!A:A, ""))),"[" &amp; _xlfn.TEXTJOIN(",", TRUE, _xlpm.results) &amp; "]")</f>
        <v>[3,6,5]</v>
      </c>
      <c r="P40" s="31" t="str" cm="1">
        <f t="array" ref="P40">_xlfn.LET(_xlpm.search_list, _xlfn.HSTACK(E40, G40, I40,K40), _xlpm.output_list, _xlfn.HSTACK(F40, H40, J40,L40), _xlpm.results, _xlfn.MAP(_xlpm.search_list, _xlpm.output_list, _xlfn.LAMBDA(_xlpm.s,_xlpm.o, IF(ISNUMBER(MATCH(_xlpm.s, 素材!B:B, 0)), _xlpm.o, ""))), "[" &amp; _xlfn.TEXTJOIN(",", TRUE, _xlpm.results) &amp; "]")</f>
        <v>[13,13,13]</v>
      </c>
      <c r="Q40" s="31" t="str" cm="1">
        <f t="array" ref="Q40">_xlfn.LET(_xlpm.search_vals, _xlfn.HSTACK(M40),_xlpm.results, _xlfn.BYCOL(_xlpm.search_vals, _xlfn.LAMBDA(_xlpm.v, _xlfn.XLOOKUP(_xlpm.v, 素材!B:B, 素材!A:A, ""))),"[" &amp; _xlfn.TEXTJOIN(",", TRUE, _xlpm.results) &amp; "]")</f>
        <v>[1]</v>
      </c>
      <c r="R40" s="31" t="str" cm="1">
        <f t="array" ref="R40">_xlfn.LET(_xlpm.search_list, _xlfn.HSTACK(M40), _xlpm.output_list, _xlfn.HSTACK(N40), _xlpm.results, _xlfn.MAP(_xlpm.search_list, _xlpm.output_list, _xlfn.LAMBDA(_xlpm.s,_xlpm.o, IF(ISNUMBER(MATCH(_xlpm.s, 素材!B:B, 0)), _xlpm.o, ""))), "[" &amp; _xlfn.TEXTJOIN(",", TRUE, _xlpm.results) &amp; "]")</f>
        <v>[13]</v>
      </c>
      <c r="S40" s="23">
        <f t="shared" ref="S40:S46" si="2">IFERROR(N40/(F40+H40+J40+L40),"-")</f>
        <v>0.33333333333333331</v>
      </c>
    </row>
    <row r="41" spans="1:19" x14ac:dyDescent="0.2">
      <c r="A41" s="10">
        <f>_xlfn.XLOOKUP(B41, ノード!B:B, ノード!A:A, "")</f>
        <v>7</v>
      </c>
      <c r="B41" s="10" t="s">
        <v>132</v>
      </c>
      <c r="C41" s="10">
        <v>2</v>
      </c>
      <c r="D41" s="10">
        <v>2000</v>
      </c>
      <c r="E41" s="10" t="s">
        <v>56</v>
      </c>
      <c r="F41" s="10">
        <v>14</v>
      </c>
      <c r="G41" s="10" t="s">
        <v>151</v>
      </c>
      <c r="H41" s="10">
        <v>14</v>
      </c>
      <c r="I41" s="10" t="s">
        <v>150</v>
      </c>
      <c r="J41" s="10">
        <v>14</v>
      </c>
      <c r="K41" s="10" t="s">
        <v>152</v>
      </c>
      <c r="L41" s="10">
        <v>4</v>
      </c>
      <c r="M41" s="10" t="s">
        <v>64</v>
      </c>
      <c r="N41" s="10">
        <v>14</v>
      </c>
      <c r="O41" s="31" t="str" cm="1">
        <f t="array" ref="O41">_xlfn.LET(_xlpm.search_vals, _xlfn.HSTACK(E41, G41, I41,K41),_xlpm.results, _xlfn.BYCOL(_xlpm.search_vals, _xlfn.LAMBDA(_xlpm.v, _xlfn.XLOOKUP(_xlpm.v, 素材!B:B, 素材!A:A, ""))),"[" &amp; _xlfn.TEXTJOIN(",", TRUE, _xlpm.results) &amp; "]")</f>
        <v>[3,6,5,7]</v>
      </c>
      <c r="P41" s="31" t="str" cm="1">
        <f t="array" ref="P41">_xlfn.LET(_xlpm.search_list, _xlfn.HSTACK(E41, G41, I41,K41), _xlpm.output_list, _xlfn.HSTACK(F41, H41, J41,L41), _xlpm.results, _xlfn.MAP(_xlpm.search_list, _xlpm.output_list, _xlfn.LAMBDA(_xlpm.s,_xlpm.o, IF(ISNUMBER(MATCH(_xlpm.s, 素材!B:B, 0)), _xlpm.o, ""))), "[" &amp; _xlfn.TEXTJOIN(",", TRUE, _xlpm.results) &amp; "]")</f>
        <v>[14,14,14,4]</v>
      </c>
      <c r="Q41" s="31" t="str" cm="1">
        <f t="array" ref="Q41">_xlfn.LET(_xlpm.search_vals, _xlfn.HSTACK(M41),_xlpm.results, _xlfn.BYCOL(_xlpm.search_vals, _xlfn.LAMBDA(_xlpm.v, _xlfn.XLOOKUP(_xlpm.v, 素材!B:B, 素材!A:A, ""))),"[" &amp; _xlfn.TEXTJOIN(",", TRUE, _xlpm.results) &amp; "]")</f>
        <v>[1]</v>
      </c>
      <c r="R41" s="31" t="str" cm="1">
        <f t="array" ref="R41">_xlfn.LET(_xlpm.search_list, _xlfn.HSTACK(M41), _xlpm.output_list, _xlfn.HSTACK(N41), _xlpm.results, _xlfn.MAP(_xlpm.search_list, _xlpm.output_list, _xlfn.LAMBDA(_xlpm.s,_xlpm.o, IF(ISNUMBER(MATCH(_xlpm.s, 素材!B:B, 0)), _xlpm.o, ""))), "[" &amp; _xlfn.TEXTJOIN(",", TRUE, _xlpm.results) &amp; "]")</f>
        <v>[14]</v>
      </c>
      <c r="S41" s="23">
        <f t="shared" si="2"/>
        <v>0.30434782608695654</v>
      </c>
    </row>
    <row r="42" spans="1:19" x14ac:dyDescent="0.2">
      <c r="A42" s="10">
        <f>_xlfn.XLOOKUP(B42, ノード!B:B, ノード!A:A, "")</f>
        <v>7</v>
      </c>
      <c r="B42" s="10" t="s">
        <v>132</v>
      </c>
      <c r="C42" s="10">
        <v>3</v>
      </c>
      <c r="D42" s="10">
        <v>3000</v>
      </c>
      <c r="E42" s="10" t="s">
        <v>56</v>
      </c>
      <c r="F42" s="10">
        <v>15</v>
      </c>
      <c r="G42" s="10" t="s">
        <v>151</v>
      </c>
      <c r="H42" s="10">
        <v>15</v>
      </c>
      <c r="I42" s="10" t="s">
        <v>150</v>
      </c>
      <c r="J42" s="10">
        <v>15</v>
      </c>
      <c r="K42" s="10" t="s">
        <v>152</v>
      </c>
      <c r="L42" s="10">
        <v>8</v>
      </c>
      <c r="M42" s="10" t="s">
        <v>64</v>
      </c>
      <c r="N42" s="10">
        <v>15</v>
      </c>
      <c r="O42" s="31" t="str" cm="1">
        <f t="array" ref="O42">_xlfn.LET(_xlpm.search_vals, _xlfn.HSTACK(E42, G42, I42,K42),_xlpm.results, _xlfn.BYCOL(_xlpm.search_vals, _xlfn.LAMBDA(_xlpm.v, _xlfn.XLOOKUP(_xlpm.v, 素材!B:B, 素材!A:A, ""))),"[" &amp; _xlfn.TEXTJOIN(",", TRUE, _xlpm.results) &amp; "]")</f>
        <v>[3,6,5,7]</v>
      </c>
      <c r="P42" s="31" t="str" cm="1">
        <f t="array" ref="P42">_xlfn.LET(_xlpm.search_list, _xlfn.HSTACK(E42, G42, I42,K42), _xlpm.output_list, _xlfn.HSTACK(F42, H42, J42,L42), _xlpm.results, _xlfn.MAP(_xlpm.search_list, _xlpm.output_list, _xlfn.LAMBDA(_xlpm.s,_xlpm.o, IF(ISNUMBER(MATCH(_xlpm.s, 素材!B:B, 0)), _xlpm.o, ""))), "[" &amp; _xlfn.TEXTJOIN(",", TRUE, _xlpm.results) &amp; "]")</f>
        <v>[15,15,15,8]</v>
      </c>
      <c r="Q42" s="31" t="str" cm="1">
        <f t="array" ref="Q42">_xlfn.LET(_xlpm.search_vals, _xlfn.HSTACK(M42),_xlpm.results, _xlfn.BYCOL(_xlpm.search_vals, _xlfn.LAMBDA(_xlpm.v, _xlfn.XLOOKUP(_xlpm.v, 素材!B:B, 素材!A:A, ""))),"[" &amp; _xlfn.TEXTJOIN(",", TRUE, _xlpm.results) &amp; "]")</f>
        <v>[1]</v>
      </c>
      <c r="R42" s="31" t="str" cm="1">
        <f t="array" ref="R42">_xlfn.LET(_xlpm.search_list, _xlfn.HSTACK(M42), _xlpm.output_list, _xlfn.HSTACK(N42), _xlpm.results, _xlfn.MAP(_xlpm.search_list, _xlpm.output_list, _xlfn.LAMBDA(_xlpm.s,_xlpm.o, IF(ISNUMBER(MATCH(_xlpm.s, 素材!B:B, 0)), _xlpm.o, ""))), "[" &amp; _xlfn.TEXTJOIN(",", TRUE, _xlpm.results) &amp; "]")</f>
        <v>[15]</v>
      </c>
      <c r="S42" s="23">
        <f t="shared" si="2"/>
        <v>0.28301886792452829</v>
      </c>
    </row>
    <row r="43" spans="1:19" x14ac:dyDescent="0.2">
      <c r="A43" s="10">
        <f>_xlfn.XLOOKUP(B43, ノード!B:B, ノード!A:A, "")</f>
        <v>7</v>
      </c>
      <c r="B43" s="10" t="s">
        <v>132</v>
      </c>
      <c r="C43" s="10">
        <v>4</v>
      </c>
      <c r="D43" s="10">
        <v>4000</v>
      </c>
      <c r="E43" s="10" t="s">
        <v>56</v>
      </c>
      <c r="F43" s="10">
        <v>16</v>
      </c>
      <c r="G43" s="10" t="s">
        <v>151</v>
      </c>
      <c r="H43" s="10">
        <v>16</v>
      </c>
      <c r="I43" s="10" t="s">
        <v>150</v>
      </c>
      <c r="J43" s="10">
        <v>16</v>
      </c>
      <c r="K43" s="10" t="s">
        <v>152</v>
      </c>
      <c r="L43" s="10"/>
      <c r="M43" s="10" t="s">
        <v>64</v>
      </c>
      <c r="N43" s="10">
        <v>16</v>
      </c>
      <c r="O43" s="31" t="str" cm="1">
        <f t="array" ref="O43">_xlfn.LET(_xlpm.search_vals, _xlfn.HSTACK(E43, G43, I43,K43),_xlpm.results, _xlfn.BYCOL(_xlpm.search_vals, _xlfn.LAMBDA(_xlpm.v, _xlfn.XLOOKUP(_xlpm.v, 素材!B:B, 素材!A:A, ""))),"[" &amp; _xlfn.TEXTJOIN(",", TRUE, _xlpm.results) &amp; "]")</f>
        <v>[3,6,5,7]</v>
      </c>
      <c r="P43" s="31" t="str" cm="1">
        <f t="array" ref="P43">_xlfn.LET(_xlpm.search_list, _xlfn.HSTACK(E43, G43, I43,K43), _xlpm.output_list, _xlfn.HSTACK(F43, H43, J43,L43), _xlpm.results, _xlfn.MAP(_xlpm.search_list, _xlpm.output_list, _xlfn.LAMBDA(_xlpm.s,_xlpm.o, IF(ISNUMBER(MATCH(_xlpm.s, 素材!B:B, 0)), _xlpm.o, ""))), "[" &amp; _xlfn.TEXTJOIN(",", TRUE, _xlpm.results) &amp; "]")</f>
        <v>[16,16,16]</v>
      </c>
      <c r="Q43" s="31" t="str" cm="1">
        <f t="array" ref="Q43">_xlfn.LET(_xlpm.search_vals, _xlfn.HSTACK(M43),_xlpm.results, _xlfn.BYCOL(_xlpm.search_vals, _xlfn.LAMBDA(_xlpm.v, _xlfn.XLOOKUP(_xlpm.v, 素材!B:B, 素材!A:A, ""))),"[" &amp; _xlfn.TEXTJOIN(",", TRUE, _xlpm.results) &amp; "]")</f>
        <v>[1]</v>
      </c>
      <c r="R43" s="31" t="str" cm="1">
        <f t="array" ref="R43">_xlfn.LET(_xlpm.search_list, _xlfn.HSTACK(M43), _xlpm.output_list, _xlfn.HSTACK(N43), _xlpm.results, _xlfn.MAP(_xlpm.search_list, _xlpm.output_list, _xlfn.LAMBDA(_xlpm.s,_xlpm.o, IF(ISNUMBER(MATCH(_xlpm.s, 素材!B:B, 0)), _xlpm.o, ""))), "[" &amp; _xlfn.TEXTJOIN(",", TRUE, _xlpm.results) &amp; "]")</f>
        <v>[16]</v>
      </c>
      <c r="S43" s="23">
        <f t="shared" si="2"/>
        <v>0.33333333333333331</v>
      </c>
    </row>
    <row r="44" spans="1:19" x14ac:dyDescent="0.2">
      <c r="A44" s="10">
        <f>_xlfn.XLOOKUP(B44, ノード!B:B, ノード!A:A, "")</f>
        <v>7</v>
      </c>
      <c r="B44" s="10" t="s">
        <v>132</v>
      </c>
      <c r="C44" s="10">
        <v>5</v>
      </c>
      <c r="D44" s="10">
        <v>5000</v>
      </c>
      <c r="E44" s="10" t="s">
        <v>56</v>
      </c>
      <c r="F44" s="10">
        <v>17</v>
      </c>
      <c r="G44" s="10" t="s">
        <v>151</v>
      </c>
      <c r="H44" s="10">
        <v>17</v>
      </c>
      <c r="I44" s="10" t="s">
        <v>150</v>
      </c>
      <c r="J44" s="10">
        <v>17</v>
      </c>
      <c r="K44" s="10" t="s">
        <v>152</v>
      </c>
      <c r="L44" s="10"/>
      <c r="M44" s="10" t="s">
        <v>64</v>
      </c>
      <c r="N44" s="10">
        <v>17</v>
      </c>
      <c r="O44" s="31" t="str" cm="1">
        <f t="array" ref="O44">_xlfn.LET(_xlpm.search_vals, _xlfn.HSTACK(E44, G44, I44,K44),_xlpm.results, _xlfn.BYCOL(_xlpm.search_vals, _xlfn.LAMBDA(_xlpm.v, _xlfn.XLOOKUP(_xlpm.v, 素材!B:B, 素材!A:A, ""))),"[" &amp; _xlfn.TEXTJOIN(",", TRUE, _xlpm.results) &amp; "]")</f>
        <v>[3,6,5,7]</v>
      </c>
      <c r="P44" s="31" t="str" cm="1">
        <f t="array" ref="P44">_xlfn.LET(_xlpm.search_list, _xlfn.HSTACK(E44, G44, I44,K44), _xlpm.output_list, _xlfn.HSTACK(F44, H44, J44,L44), _xlpm.results, _xlfn.MAP(_xlpm.search_list, _xlpm.output_list, _xlfn.LAMBDA(_xlpm.s,_xlpm.o, IF(ISNUMBER(MATCH(_xlpm.s, 素材!B:B, 0)), _xlpm.o, ""))), "[" &amp; _xlfn.TEXTJOIN(",", TRUE, _xlpm.results) &amp; "]")</f>
        <v>[17,17,17]</v>
      </c>
      <c r="Q44" s="31" t="str" cm="1">
        <f t="array" ref="Q44">_xlfn.LET(_xlpm.search_vals, _xlfn.HSTACK(M44),_xlpm.results, _xlfn.BYCOL(_xlpm.search_vals, _xlfn.LAMBDA(_xlpm.v, _xlfn.XLOOKUP(_xlpm.v, 素材!B:B, 素材!A:A, ""))),"[" &amp; _xlfn.TEXTJOIN(",", TRUE, _xlpm.results) &amp; "]")</f>
        <v>[1]</v>
      </c>
      <c r="R44" s="31" t="str" cm="1">
        <f t="array" ref="R44">_xlfn.LET(_xlpm.search_list, _xlfn.HSTACK(M44), _xlpm.output_list, _xlfn.HSTACK(N44), _xlpm.results, _xlfn.MAP(_xlpm.search_list, _xlpm.output_list, _xlfn.LAMBDA(_xlpm.s,_xlpm.o, IF(ISNUMBER(MATCH(_xlpm.s, 素材!B:B, 0)), _xlpm.o, ""))), "[" &amp; _xlfn.TEXTJOIN(",", TRUE, _xlpm.results) &amp; "]")</f>
        <v>[17]</v>
      </c>
      <c r="S44" s="23">
        <f t="shared" si="2"/>
        <v>0.33333333333333331</v>
      </c>
    </row>
    <row r="45" spans="1:19" x14ac:dyDescent="0.2">
      <c r="A45" s="10">
        <f>_xlfn.XLOOKUP(B45, ノード!B:B, ノード!A:A, "")</f>
        <v>7</v>
      </c>
      <c r="B45" s="10" t="s">
        <v>132</v>
      </c>
      <c r="C45" s="10">
        <v>6</v>
      </c>
      <c r="D45" s="10">
        <v>6000</v>
      </c>
      <c r="E45" s="10" t="s">
        <v>56</v>
      </c>
      <c r="F45" s="10">
        <v>18</v>
      </c>
      <c r="G45" s="10" t="s">
        <v>151</v>
      </c>
      <c r="H45" s="10">
        <v>18</v>
      </c>
      <c r="I45" s="10" t="s">
        <v>150</v>
      </c>
      <c r="J45" s="10">
        <v>18</v>
      </c>
      <c r="K45" s="10" t="s">
        <v>152</v>
      </c>
      <c r="L45" s="10"/>
      <c r="M45" s="10" t="s">
        <v>64</v>
      </c>
      <c r="N45" s="10">
        <v>18</v>
      </c>
      <c r="O45" s="31" t="str" cm="1">
        <f t="array" ref="O45">_xlfn.LET(_xlpm.search_vals, _xlfn.HSTACK(E45, G45, I45,K45),_xlpm.results, _xlfn.BYCOL(_xlpm.search_vals, _xlfn.LAMBDA(_xlpm.v, _xlfn.XLOOKUP(_xlpm.v, 素材!B:B, 素材!A:A, ""))),"[" &amp; _xlfn.TEXTJOIN(",", TRUE, _xlpm.results) &amp; "]")</f>
        <v>[3,6,5,7]</v>
      </c>
      <c r="P45" s="31" t="str" cm="1">
        <f t="array" ref="P45">_xlfn.LET(_xlpm.search_list, _xlfn.HSTACK(E45, G45, I45,K45), _xlpm.output_list, _xlfn.HSTACK(F45, H45, J45,L45), _xlpm.results, _xlfn.MAP(_xlpm.search_list, _xlpm.output_list, _xlfn.LAMBDA(_xlpm.s,_xlpm.o, IF(ISNUMBER(MATCH(_xlpm.s, 素材!B:B, 0)), _xlpm.o, ""))), "[" &amp; _xlfn.TEXTJOIN(",", TRUE, _xlpm.results) &amp; "]")</f>
        <v>[18,18,18]</v>
      </c>
      <c r="Q45" s="31" t="str" cm="1">
        <f t="array" ref="Q45">_xlfn.LET(_xlpm.search_vals, _xlfn.HSTACK(M45),_xlpm.results, _xlfn.BYCOL(_xlpm.search_vals, _xlfn.LAMBDA(_xlpm.v, _xlfn.XLOOKUP(_xlpm.v, 素材!B:B, 素材!A:A, ""))),"[" &amp; _xlfn.TEXTJOIN(",", TRUE, _xlpm.results) &amp; "]")</f>
        <v>[1]</v>
      </c>
      <c r="R45" s="31" t="str" cm="1">
        <f t="array" ref="R45">_xlfn.LET(_xlpm.search_list, _xlfn.HSTACK(M45), _xlpm.output_list, _xlfn.HSTACK(N45), _xlpm.results, _xlfn.MAP(_xlpm.search_list, _xlpm.output_list, _xlfn.LAMBDA(_xlpm.s,_xlpm.o, IF(ISNUMBER(MATCH(_xlpm.s, 素材!B:B, 0)), _xlpm.o, ""))), "[" &amp; _xlfn.TEXTJOIN(",", TRUE, _xlpm.results) &amp; "]")</f>
        <v>[18]</v>
      </c>
      <c r="S45" s="23">
        <f t="shared" si="2"/>
        <v>0.33333333333333331</v>
      </c>
    </row>
    <row r="46" spans="1:19" x14ac:dyDescent="0.2">
      <c r="A46" s="10">
        <f>_xlfn.XLOOKUP(B46, ノード!B:B, ノード!A:A, "")</f>
        <v>7</v>
      </c>
      <c r="B46" s="10" t="s">
        <v>132</v>
      </c>
      <c r="C46" s="10">
        <v>7</v>
      </c>
      <c r="D46" s="10">
        <v>7000</v>
      </c>
      <c r="E46" s="10" t="s">
        <v>56</v>
      </c>
      <c r="F46" s="10">
        <v>19</v>
      </c>
      <c r="G46" s="10" t="s">
        <v>151</v>
      </c>
      <c r="H46" s="10">
        <v>19</v>
      </c>
      <c r="I46" s="10" t="s">
        <v>150</v>
      </c>
      <c r="J46" s="10">
        <v>19</v>
      </c>
      <c r="K46" s="10" t="s">
        <v>152</v>
      </c>
      <c r="L46" s="10"/>
      <c r="M46" s="10" t="s">
        <v>64</v>
      </c>
      <c r="N46" s="10">
        <v>19</v>
      </c>
      <c r="O46" s="31" t="str" cm="1">
        <f t="array" ref="O46">_xlfn.LET(_xlpm.search_vals, _xlfn.HSTACK(E46, G46, I46,K46),_xlpm.results, _xlfn.BYCOL(_xlpm.search_vals, _xlfn.LAMBDA(_xlpm.v, _xlfn.XLOOKUP(_xlpm.v, 素材!B:B, 素材!A:A, ""))),"[" &amp; _xlfn.TEXTJOIN(",", TRUE, _xlpm.results) &amp; "]")</f>
        <v>[3,6,5,7]</v>
      </c>
      <c r="P46" s="31" t="str" cm="1">
        <f t="array" ref="P46">_xlfn.LET(_xlpm.search_list, _xlfn.HSTACK(E46, G46, I46,K46), _xlpm.output_list, _xlfn.HSTACK(F46, H46, J46,L46), _xlpm.results, _xlfn.MAP(_xlpm.search_list, _xlpm.output_list, _xlfn.LAMBDA(_xlpm.s,_xlpm.o, IF(ISNUMBER(MATCH(_xlpm.s, 素材!B:B, 0)), _xlpm.o, ""))), "[" &amp; _xlfn.TEXTJOIN(",", TRUE, _xlpm.results) &amp; "]")</f>
        <v>[19,19,19]</v>
      </c>
      <c r="Q46" s="31" t="str" cm="1">
        <f t="array" ref="Q46">_xlfn.LET(_xlpm.search_vals, _xlfn.HSTACK(M46),_xlpm.results, _xlfn.BYCOL(_xlpm.search_vals, _xlfn.LAMBDA(_xlpm.v, _xlfn.XLOOKUP(_xlpm.v, 素材!B:B, 素材!A:A, ""))),"[" &amp; _xlfn.TEXTJOIN(",", TRUE, _xlpm.results) &amp; "]")</f>
        <v>[1]</v>
      </c>
      <c r="R46" s="31" t="str" cm="1">
        <f t="array" ref="R46">_xlfn.LET(_xlpm.search_list, _xlfn.HSTACK(M46), _xlpm.output_list, _xlfn.HSTACK(N46), _xlpm.results, _xlfn.MAP(_xlpm.search_list, _xlpm.output_list, _xlfn.LAMBDA(_xlpm.s,_xlpm.o, IF(ISNUMBER(MATCH(_xlpm.s, 素材!B:B, 0)), _xlpm.o, ""))), "[" &amp; _xlfn.TEXTJOIN(",", TRUE, _xlpm.results) &amp; "]")</f>
        <v>[19]</v>
      </c>
      <c r="S46" s="23">
        <f t="shared" si="2"/>
        <v>0.33333333333333331</v>
      </c>
    </row>
    <row r="47" spans="1:19" x14ac:dyDescent="0.2">
      <c r="A47" s="10">
        <f>_xlfn.XLOOKUP(B47, ノード!B:B, ノード!A:A, "")</f>
        <v>7</v>
      </c>
      <c r="B47" s="10" t="s">
        <v>132</v>
      </c>
      <c r="C47" s="10">
        <v>8</v>
      </c>
      <c r="D47" s="10">
        <v>8000</v>
      </c>
      <c r="E47" s="10" t="s">
        <v>56</v>
      </c>
      <c r="F47" s="10">
        <v>13</v>
      </c>
      <c r="G47" s="10" t="s">
        <v>151</v>
      </c>
      <c r="H47" s="10">
        <v>13</v>
      </c>
      <c r="I47" s="10" t="s">
        <v>150</v>
      </c>
      <c r="J47" s="10">
        <v>20</v>
      </c>
      <c r="K47" s="10" t="s">
        <v>152</v>
      </c>
      <c r="L47" s="10"/>
      <c r="M47" s="10" t="s">
        <v>64</v>
      </c>
      <c r="N47" s="10">
        <v>13</v>
      </c>
      <c r="O47" s="31" t="str" cm="1">
        <f t="array" ref="O47">_xlfn.LET(_xlpm.search_vals, _xlfn.HSTACK(E47, G47, I47,K47),_xlpm.results, _xlfn.BYCOL(_xlpm.search_vals, _xlfn.LAMBDA(_xlpm.v, _xlfn.XLOOKUP(_xlpm.v, 素材!B:B, 素材!A:A, ""))),"[" &amp; _xlfn.TEXTJOIN(",", TRUE, _xlpm.results) &amp; "]")</f>
        <v>[3,6,5,7]</v>
      </c>
      <c r="P47" s="31" t="str" cm="1">
        <f t="array" ref="P47">_xlfn.LET(_xlpm.search_list, _xlfn.HSTACK(E47, G47, I47,K47), _xlpm.output_list, _xlfn.HSTACK(F47, H47, J47,L47), _xlpm.results, _xlfn.MAP(_xlpm.search_list, _xlpm.output_list, _xlfn.LAMBDA(_xlpm.s,_xlpm.o, IF(ISNUMBER(MATCH(_xlpm.s, 素材!B:B, 0)), _xlpm.o, ""))), "[" &amp; _xlfn.TEXTJOIN(",", TRUE, _xlpm.results) &amp; "]")</f>
        <v>[13,13,20]</v>
      </c>
      <c r="Q47" s="31" t="str" cm="1">
        <f t="array" ref="Q47">_xlfn.LET(_xlpm.search_vals, _xlfn.HSTACK(M47),_xlpm.results, _xlfn.BYCOL(_xlpm.search_vals, _xlfn.LAMBDA(_xlpm.v, _xlfn.XLOOKUP(_xlpm.v, 素材!B:B, 素材!A:A, ""))),"[" &amp; _xlfn.TEXTJOIN(",", TRUE, _xlpm.results) &amp; "]")</f>
        <v>[1]</v>
      </c>
      <c r="R47" s="31" t="str" cm="1">
        <f t="array" ref="R47">_xlfn.LET(_xlpm.search_list, _xlfn.HSTACK(M47), _xlpm.output_list, _xlfn.HSTACK(N47), _xlpm.results, _xlfn.MAP(_xlpm.search_list, _xlpm.output_list, _xlfn.LAMBDA(_xlpm.s,_xlpm.o, IF(ISNUMBER(MATCH(_xlpm.s, 素材!B:B, 0)), _xlpm.o, ""))), "[" &amp; _xlfn.TEXTJOIN(",", TRUE, _xlpm.results) &amp; "]")</f>
        <v>[13]</v>
      </c>
      <c r="S47" s="23">
        <f t="shared" si="0"/>
        <v>0.28260869565217389</v>
      </c>
    </row>
    <row r="48" spans="1:19" x14ac:dyDescent="0.2">
      <c r="A48" s="10">
        <f>_xlfn.XLOOKUP(B48, ノード!B:B, ノード!A:A, "")</f>
        <v>7</v>
      </c>
      <c r="B48" s="10" t="s">
        <v>132</v>
      </c>
      <c r="C48" s="10">
        <v>9</v>
      </c>
      <c r="D48" s="10">
        <v>9000</v>
      </c>
      <c r="E48" s="10" t="s">
        <v>56</v>
      </c>
      <c r="F48" s="10">
        <v>14</v>
      </c>
      <c r="G48" s="10" t="s">
        <v>151</v>
      </c>
      <c r="H48" s="10">
        <v>14</v>
      </c>
      <c r="I48" s="10" t="s">
        <v>150</v>
      </c>
      <c r="J48" s="10">
        <v>21</v>
      </c>
      <c r="K48" s="10" t="s">
        <v>152</v>
      </c>
      <c r="L48" s="10"/>
      <c r="M48" s="10" t="s">
        <v>64</v>
      </c>
      <c r="N48" s="10">
        <v>14</v>
      </c>
      <c r="O48" s="31" t="str" cm="1">
        <f t="array" ref="O48">_xlfn.LET(_xlpm.search_vals, _xlfn.HSTACK(E48, G48, I48,K48),_xlpm.results, _xlfn.BYCOL(_xlpm.search_vals, _xlfn.LAMBDA(_xlpm.v, _xlfn.XLOOKUP(_xlpm.v, 素材!B:B, 素材!A:A, ""))),"[" &amp; _xlfn.TEXTJOIN(",", TRUE, _xlpm.results) &amp; "]")</f>
        <v>[3,6,5,7]</v>
      </c>
      <c r="P48" s="31" t="str" cm="1">
        <f t="array" ref="P48">_xlfn.LET(_xlpm.search_list, _xlfn.HSTACK(E48, G48, I48,K48), _xlpm.output_list, _xlfn.HSTACK(F48, H48, J48,L48), _xlpm.results, _xlfn.MAP(_xlpm.search_list, _xlpm.output_list, _xlfn.LAMBDA(_xlpm.s,_xlpm.o, IF(ISNUMBER(MATCH(_xlpm.s, 素材!B:B, 0)), _xlpm.o, ""))), "[" &amp; _xlfn.TEXTJOIN(",", TRUE, _xlpm.results) &amp; "]")</f>
        <v>[14,14,21]</v>
      </c>
      <c r="Q48" s="31" t="str" cm="1">
        <f t="array" ref="Q48">_xlfn.LET(_xlpm.search_vals, _xlfn.HSTACK(M48),_xlpm.results, _xlfn.BYCOL(_xlpm.search_vals, _xlfn.LAMBDA(_xlpm.v, _xlfn.XLOOKUP(_xlpm.v, 素材!B:B, 素材!A:A, ""))),"[" &amp; _xlfn.TEXTJOIN(",", TRUE, _xlpm.results) &amp; "]")</f>
        <v>[1]</v>
      </c>
      <c r="R48" s="31" t="str" cm="1">
        <f t="array" ref="R48">_xlfn.LET(_xlpm.search_list, _xlfn.HSTACK(M48), _xlpm.output_list, _xlfn.HSTACK(N48), _xlpm.results, _xlfn.MAP(_xlpm.search_list, _xlpm.output_list, _xlfn.LAMBDA(_xlpm.s,_xlpm.o, IF(ISNUMBER(MATCH(_xlpm.s, 素材!B:B, 0)), _xlpm.o, ""))), "[" &amp; _xlfn.TEXTJOIN(",", TRUE, _xlpm.results) &amp; "]")</f>
        <v>[14]</v>
      </c>
      <c r="S48" s="23">
        <f t="shared" si="0"/>
        <v>0.2857142857142857</v>
      </c>
    </row>
    <row r="49" spans="1:19" x14ac:dyDescent="0.2">
      <c r="A49" s="10">
        <f>_xlfn.XLOOKUP(B49, ノード!B:B, ノード!A:A, "")</f>
        <v>7</v>
      </c>
      <c r="B49" s="10" t="s">
        <v>132</v>
      </c>
      <c r="C49" s="10">
        <v>10</v>
      </c>
      <c r="D49" s="10">
        <v>10000</v>
      </c>
      <c r="E49" s="10" t="s">
        <v>56</v>
      </c>
      <c r="F49" s="10">
        <v>15</v>
      </c>
      <c r="G49" s="10" t="s">
        <v>151</v>
      </c>
      <c r="H49" s="10">
        <v>15</v>
      </c>
      <c r="I49" s="10" t="s">
        <v>150</v>
      </c>
      <c r="J49" s="10">
        <v>22</v>
      </c>
      <c r="K49" s="10" t="s">
        <v>152</v>
      </c>
      <c r="L49" s="10"/>
      <c r="M49" s="10" t="s">
        <v>64</v>
      </c>
      <c r="N49" s="10">
        <v>15</v>
      </c>
      <c r="O49" s="31" t="str" cm="1">
        <f t="array" ref="O49">_xlfn.LET(_xlpm.search_vals, _xlfn.HSTACK(E49, G49, I49,K49),_xlpm.results, _xlfn.BYCOL(_xlpm.search_vals, _xlfn.LAMBDA(_xlpm.v, _xlfn.XLOOKUP(_xlpm.v, 素材!B:B, 素材!A:A, ""))),"[" &amp; _xlfn.TEXTJOIN(",", TRUE, _xlpm.results) &amp; "]")</f>
        <v>[3,6,5,7]</v>
      </c>
      <c r="P49" s="31" t="str" cm="1">
        <f t="array" ref="P49">_xlfn.LET(_xlpm.search_list, _xlfn.HSTACK(E49, G49, I49,K49), _xlpm.output_list, _xlfn.HSTACK(F49, H49, J49,L49), _xlpm.results, _xlfn.MAP(_xlpm.search_list, _xlpm.output_list, _xlfn.LAMBDA(_xlpm.s,_xlpm.o, IF(ISNUMBER(MATCH(_xlpm.s, 素材!B:B, 0)), _xlpm.o, ""))), "[" &amp; _xlfn.TEXTJOIN(",", TRUE, _xlpm.results) &amp; "]")</f>
        <v>[15,15,22]</v>
      </c>
      <c r="Q49" s="31" t="str" cm="1">
        <f t="array" ref="Q49">_xlfn.LET(_xlpm.search_vals, _xlfn.HSTACK(M49),_xlpm.results, _xlfn.BYCOL(_xlpm.search_vals, _xlfn.LAMBDA(_xlpm.v, _xlfn.XLOOKUP(_xlpm.v, 素材!B:B, 素材!A:A, ""))),"[" &amp; _xlfn.TEXTJOIN(",", TRUE, _xlpm.results) &amp; "]")</f>
        <v>[1]</v>
      </c>
      <c r="R49" s="31" t="str" cm="1">
        <f t="array" ref="R49">_xlfn.LET(_xlpm.search_list, _xlfn.HSTACK(M49), _xlpm.output_list, _xlfn.HSTACK(N49), _xlpm.results, _xlfn.MAP(_xlpm.search_list, _xlpm.output_list, _xlfn.LAMBDA(_xlpm.s,_xlpm.o, IF(ISNUMBER(MATCH(_xlpm.s, 素材!B:B, 0)), _xlpm.o, ""))), "[" &amp; _xlfn.TEXTJOIN(",", TRUE, _xlpm.results) &amp; "]")</f>
        <v>[15]</v>
      </c>
      <c r="S49" s="23">
        <f t="shared" si="0"/>
        <v>0.28846153846153844</v>
      </c>
    </row>
    <row r="50" spans="1:19" x14ac:dyDescent="0.2">
      <c r="A50" s="10">
        <f>_xlfn.XLOOKUP(B50, ノード!B:B, ノード!A:A, "")</f>
        <v>8</v>
      </c>
      <c r="B50" s="10" t="s">
        <v>201</v>
      </c>
      <c r="C50" s="10">
        <v>0</v>
      </c>
      <c r="D50" s="10">
        <v>0</v>
      </c>
      <c r="E50" s="10"/>
      <c r="F50" s="10"/>
      <c r="G50" s="10"/>
      <c r="H50" s="10"/>
      <c r="I50" s="10"/>
      <c r="J50" s="10"/>
      <c r="K50" s="10"/>
      <c r="L50" s="10"/>
      <c r="M50" s="10" t="s">
        <v>152</v>
      </c>
      <c r="N50" s="10">
        <v>4</v>
      </c>
      <c r="O50" s="31" t="str" cm="1">
        <f t="array" ref="O50">_xlfn.LET(_xlpm.search_vals, _xlfn.HSTACK(E50, G50, I50,K50),_xlpm.results, _xlfn.BYCOL(_xlpm.search_vals, _xlfn.LAMBDA(_xlpm.v, _xlfn.XLOOKUP(_xlpm.v, 素材!B:B, 素材!A:A, ""))),"[" &amp; _xlfn.TEXTJOIN(",", TRUE, _xlpm.results) &amp; "]")</f>
        <v>[]</v>
      </c>
      <c r="P50" s="31" t="str" cm="1">
        <f t="array" ref="P50">_xlfn.LET(_xlpm.search_list, _xlfn.HSTACK(E50, G50, I50,K50), _xlpm.output_list, _xlfn.HSTACK(F50, H50, J50,L50), _xlpm.results, _xlfn.MAP(_xlpm.search_list, _xlpm.output_list, _xlfn.LAMBDA(_xlpm.s,_xlpm.o, IF(ISNUMBER(MATCH(_xlpm.s, 素材!B:B, 0)), _xlpm.o, ""))), "[" &amp; _xlfn.TEXTJOIN(",", TRUE, _xlpm.results) &amp; "]")</f>
        <v>[]</v>
      </c>
      <c r="Q50" s="31" t="str" cm="1">
        <f t="array" ref="Q50">_xlfn.LET(_xlpm.search_vals, _xlfn.HSTACK(M50),_xlpm.results, _xlfn.BYCOL(_xlpm.search_vals, _xlfn.LAMBDA(_xlpm.v, _xlfn.XLOOKUP(_xlpm.v, 素材!B:B, 素材!A:A, ""))),"[" &amp; _xlfn.TEXTJOIN(",", TRUE, _xlpm.results) &amp; "]")</f>
        <v>[7]</v>
      </c>
      <c r="R50" s="31" t="str" cm="1">
        <f t="array" ref="R50">_xlfn.LET(_xlpm.search_list, _xlfn.HSTACK(M50), _xlpm.output_list, _xlfn.HSTACK(N50), _xlpm.results, _xlfn.MAP(_xlpm.search_list, _xlpm.output_list, _xlfn.LAMBDA(_xlpm.s,_xlpm.o, IF(ISNUMBER(MATCH(_xlpm.s, 素材!B:B, 0)), _xlpm.o, ""))), "[" &amp; _xlfn.TEXTJOIN(",", TRUE, _xlpm.results) &amp; "]")</f>
        <v>[4]</v>
      </c>
      <c r="S50" s="23" t="str">
        <f t="shared" ref="S50:S62" si="3">IFERROR(N50/(F50+H50+J50+L50),"-")</f>
        <v>-</v>
      </c>
    </row>
    <row r="51" spans="1:19" x14ac:dyDescent="0.2">
      <c r="A51" s="10">
        <f>_xlfn.XLOOKUP(B51, ノード!B:B, ノード!A:A, "")</f>
        <v>9</v>
      </c>
      <c r="B51" s="10" t="s">
        <v>257</v>
      </c>
      <c r="C51" s="10">
        <v>1</v>
      </c>
      <c r="D51" s="10">
        <v>1000</v>
      </c>
      <c r="E51" s="10" t="s">
        <v>150</v>
      </c>
      <c r="F51" s="10">
        <v>10</v>
      </c>
      <c r="G51" s="10"/>
      <c r="H51" s="10"/>
      <c r="I51" s="10"/>
      <c r="J51" s="10"/>
      <c r="K51" s="10"/>
      <c r="L51" s="10"/>
      <c r="M51" s="10" t="s">
        <v>64</v>
      </c>
      <c r="N51" s="10">
        <v>10</v>
      </c>
      <c r="O51" s="31" t="str" cm="1">
        <f t="array" ref="O51">_xlfn.LET(_xlpm.search_vals, _xlfn.HSTACK(E51, G51, I51,K51),_xlpm.results, _xlfn.BYCOL(_xlpm.search_vals, _xlfn.LAMBDA(_xlpm.v, _xlfn.XLOOKUP(_xlpm.v, 素材!B:B, 素材!A:A, ""))),"[" &amp; _xlfn.TEXTJOIN(",", TRUE, _xlpm.results) &amp; "]")</f>
        <v>[5]</v>
      </c>
      <c r="P51" s="31" t="str" cm="1">
        <f t="array" ref="P51">_xlfn.LET(_xlpm.search_list, _xlfn.HSTACK(E51, G51, I51,K51), _xlpm.output_list, _xlfn.HSTACK(F51, H51, J51,L51), _xlpm.results, _xlfn.MAP(_xlpm.search_list, _xlpm.output_list, _xlfn.LAMBDA(_xlpm.s,_xlpm.o, IF(ISNUMBER(MATCH(_xlpm.s, 素材!B:B, 0)), _xlpm.o, ""))), "[" &amp; _xlfn.TEXTJOIN(",", TRUE, _xlpm.results) &amp; "]")</f>
        <v>[10]</v>
      </c>
      <c r="Q51" s="31" t="str" cm="1">
        <f t="array" ref="Q51">_xlfn.LET(_xlpm.search_vals, _xlfn.HSTACK(M51),_xlpm.results, _xlfn.BYCOL(_xlpm.search_vals, _xlfn.LAMBDA(_xlpm.v, _xlfn.XLOOKUP(_xlpm.v, 素材!B:B, 素材!A:A, ""))),"[" &amp; _xlfn.TEXTJOIN(",", TRUE, _xlpm.results) &amp; "]")</f>
        <v>[1]</v>
      </c>
      <c r="R51" s="31" t="str" cm="1">
        <f t="array" ref="R51">_xlfn.LET(_xlpm.search_list, _xlfn.HSTACK(M51), _xlpm.output_list, _xlfn.HSTACK(N51), _xlpm.results, _xlfn.MAP(_xlpm.search_list, _xlpm.output_list, _xlfn.LAMBDA(_xlpm.s,_xlpm.o, IF(ISNUMBER(MATCH(_xlpm.s, 素材!B:B, 0)), _xlpm.o, ""))), "[" &amp; _xlfn.TEXTJOIN(",", TRUE, _xlpm.results) &amp; "]")</f>
        <v>[10]</v>
      </c>
      <c r="S51" s="23">
        <f t="shared" si="3"/>
        <v>1</v>
      </c>
    </row>
    <row r="52" spans="1:19" x14ac:dyDescent="0.2">
      <c r="A52" s="10">
        <f>_xlfn.XLOOKUP(B52, ノード!B:B, ノード!A:A, "")</f>
        <v>9</v>
      </c>
      <c r="B52" s="10" t="s">
        <v>257</v>
      </c>
      <c r="C52" s="10">
        <v>2</v>
      </c>
      <c r="D52" s="10">
        <v>5000</v>
      </c>
      <c r="E52" s="10" t="s">
        <v>150</v>
      </c>
      <c r="F52" s="10">
        <v>30</v>
      </c>
      <c r="G52" s="10"/>
      <c r="H52" s="10"/>
      <c r="I52" s="10"/>
      <c r="J52" s="10"/>
      <c r="K52" s="10"/>
      <c r="L52" s="10"/>
      <c r="M52" s="10" t="s">
        <v>64</v>
      </c>
      <c r="N52" s="10">
        <v>30</v>
      </c>
      <c r="O52" s="31" t="str" cm="1">
        <f t="array" ref="O52">_xlfn.LET(_xlpm.search_vals, _xlfn.HSTACK(E52, G52, I52,K52),_xlpm.results, _xlfn.BYCOL(_xlpm.search_vals, _xlfn.LAMBDA(_xlpm.v, _xlfn.XLOOKUP(_xlpm.v, 素材!B:B, 素材!A:A, ""))),"[" &amp; _xlfn.TEXTJOIN(",", TRUE, _xlpm.results) &amp; "]")</f>
        <v>[5]</v>
      </c>
      <c r="P52" s="31" t="str" cm="1">
        <f t="array" ref="P52">_xlfn.LET(_xlpm.search_list, _xlfn.HSTACK(E52, G52, I52,K52), _xlpm.output_list, _xlfn.HSTACK(F52, H52, J52,L52), _xlpm.results, _xlfn.MAP(_xlpm.search_list, _xlpm.output_list, _xlfn.LAMBDA(_xlpm.s,_xlpm.o, IF(ISNUMBER(MATCH(_xlpm.s, 素材!B:B, 0)), _xlpm.o, ""))), "[" &amp; _xlfn.TEXTJOIN(",", TRUE, _xlpm.results) &amp; "]")</f>
        <v>[30]</v>
      </c>
      <c r="Q52" s="31" t="str" cm="1">
        <f t="array" ref="Q52">_xlfn.LET(_xlpm.search_vals, _xlfn.HSTACK(M52),_xlpm.results, _xlfn.BYCOL(_xlpm.search_vals, _xlfn.LAMBDA(_xlpm.v, _xlfn.XLOOKUP(_xlpm.v, 素材!B:B, 素材!A:A, ""))),"[" &amp; _xlfn.TEXTJOIN(",", TRUE, _xlpm.results) &amp; "]")</f>
        <v>[1]</v>
      </c>
      <c r="R52" s="31" t="str" cm="1">
        <f t="array" ref="R52">_xlfn.LET(_xlpm.search_list, _xlfn.HSTACK(M52), _xlpm.output_list, _xlfn.HSTACK(N52), _xlpm.results, _xlfn.MAP(_xlpm.search_list, _xlpm.output_list, _xlfn.LAMBDA(_xlpm.s,_xlpm.o, IF(ISNUMBER(MATCH(_xlpm.s, 素材!B:B, 0)), _xlpm.o, ""))), "[" &amp; _xlfn.TEXTJOIN(",", TRUE, _xlpm.results) &amp; "]")</f>
        <v>[30]</v>
      </c>
      <c r="S52" s="23">
        <f t="shared" si="3"/>
        <v>1</v>
      </c>
    </row>
    <row r="53" spans="1:19" x14ac:dyDescent="0.2">
      <c r="A53" s="10">
        <f>_xlfn.XLOOKUP(B53, ノード!B:B, ノード!A:A, "")</f>
        <v>10</v>
      </c>
      <c r="B53" s="10" t="s">
        <v>267</v>
      </c>
      <c r="C53" s="10">
        <v>1</v>
      </c>
      <c r="D53" s="10">
        <v>1000</v>
      </c>
      <c r="E53" s="10" t="s">
        <v>56</v>
      </c>
      <c r="F53" s="10">
        <v>1</v>
      </c>
      <c r="G53" s="10" t="s">
        <v>57</v>
      </c>
      <c r="H53" s="10">
        <v>1</v>
      </c>
      <c r="I53" s="10" t="s">
        <v>150</v>
      </c>
      <c r="J53" s="10">
        <v>1</v>
      </c>
      <c r="K53" s="10"/>
      <c r="L53" s="10"/>
      <c r="M53" s="10" t="s">
        <v>64</v>
      </c>
      <c r="N53" s="10">
        <v>1</v>
      </c>
      <c r="O53" s="31" t="str" cm="1">
        <f t="array" ref="O53">_xlfn.LET(_xlpm.search_vals, _xlfn.HSTACK(E53, G53, I53,K53),_xlpm.results, _xlfn.BYCOL(_xlpm.search_vals, _xlfn.LAMBDA(_xlpm.v, _xlfn.XLOOKUP(_xlpm.v, 素材!B:B, 素材!A:A, ""))),"[" &amp; _xlfn.TEXTJOIN(",", TRUE, _xlpm.results) &amp; "]")</f>
        <v>[3,4,5]</v>
      </c>
      <c r="P53" s="31" t="str" cm="1">
        <f t="array" ref="P53">_xlfn.LET(_xlpm.search_list, _xlfn.HSTACK(E53, G53, I53,K53), _xlpm.output_list, _xlfn.HSTACK(F53, H53, J53,L53), _xlpm.results, _xlfn.MAP(_xlpm.search_list, _xlpm.output_list, _xlfn.LAMBDA(_xlpm.s,_xlpm.o, IF(ISNUMBER(MATCH(_xlpm.s, 素材!B:B, 0)), _xlpm.o, ""))), "[" &amp; _xlfn.TEXTJOIN(",", TRUE, _xlpm.results) &amp; "]")</f>
        <v>[1,1,1]</v>
      </c>
      <c r="Q53" s="31" t="str" cm="1">
        <f t="array" ref="Q53">_xlfn.LET(_xlpm.search_vals, _xlfn.HSTACK(M53),_xlpm.results, _xlfn.BYCOL(_xlpm.search_vals, _xlfn.LAMBDA(_xlpm.v, _xlfn.XLOOKUP(_xlpm.v, 素材!B:B, 素材!A:A, ""))),"[" &amp; _xlfn.TEXTJOIN(",", TRUE, _xlpm.results) &amp; "]")</f>
        <v>[1]</v>
      </c>
      <c r="R53" s="31" t="str" cm="1">
        <f t="array" ref="R53">_xlfn.LET(_xlpm.search_list, _xlfn.HSTACK(M53), _xlpm.output_list, _xlfn.HSTACK(N53), _xlpm.results, _xlfn.MAP(_xlpm.search_list, _xlpm.output_list, _xlfn.LAMBDA(_xlpm.s,_xlpm.o, IF(ISNUMBER(MATCH(_xlpm.s, 素材!B:B, 0)), _xlpm.o, ""))), "[" &amp; _xlfn.TEXTJOIN(",", TRUE, _xlpm.results) &amp; "]")</f>
        <v>[1]</v>
      </c>
      <c r="S53" s="23">
        <f t="shared" si="3"/>
        <v>0.33333333333333331</v>
      </c>
    </row>
    <row r="54" spans="1:19" x14ac:dyDescent="0.2">
      <c r="A54" s="10">
        <f>_xlfn.XLOOKUP(B54, ノード!B:B, ノード!A:A, "")</f>
        <v>10</v>
      </c>
      <c r="B54" s="10" t="s">
        <v>267</v>
      </c>
      <c r="C54" s="10">
        <v>2</v>
      </c>
      <c r="D54" s="10">
        <v>2000</v>
      </c>
      <c r="E54" s="10" t="s">
        <v>56</v>
      </c>
      <c r="F54" s="10">
        <v>2</v>
      </c>
      <c r="G54" s="10" t="s">
        <v>57</v>
      </c>
      <c r="H54" s="10">
        <v>2</v>
      </c>
      <c r="I54" s="10" t="s">
        <v>150</v>
      </c>
      <c r="J54" s="10">
        <v>2</v>
      </c>
      <c r="K54" s="10"/>
      <c r="L54" s="10"/>
      <c r="M54" s="10" t="s">
        <v>64</v>
      </c>
      <c r="N54" s="10">
        <v>2</v>
      </c>
      <c r="O54" s="31" t="str" cm="1">
        <f t="array" ref="O54">_xlfn.LET(_xlpm.search_vals, _xlfn.HSTACK(E54, G54, I54,K54),_xlpm.results, _xlfn.BYCOL(_xlpm.search_vals, _xlfn.LAMBDA(_xlpm.v, _xlfn.XLOOKUP(_xlpm.v, 素材!B:B, 素材!A:A, ""))),"[" &amp; _xlfn.TEXTJOIN(",", TRUE, _xlpm.results) &amp; "]")</f>
        <v>[3,4,5]</v>
      </c>
      <c r="P54" s="31" t="str" cm="1">
        <f t="array" ref="P54">_xlfn.LET(_xlpm.search_list, _xlfn.HSTACK(E54, G54, I54,K54), _xlpm.output_list, _xlfn.HSTACK(F54, H54, J54,L54), _xlpm.results, _xlfn.MAP(_xlpm.search_list, _xlpm.output_list, _xlfn.LAMBDA(_xlpm.s,_xlpm.o, IF(ISNUMBER(MATCH(_xlpm.s, 素材!B:B, 0)), _xlpm.o, ""))), "[" &amp; _xlfn.TEXTJOIN(",", TRUE, _xlpm.results) &amp; "]")</f>
        <v>[2,2,2]</v>
      </c>
      <c r="Q54" s="31" t="str" cm="1">
        <f t="array" ref="Q54">_xlfn.LET(_xlpm.search_vals, _xlfn.HSTACK(M54),_xlpm.results, _xlfn.BYCOL(_xlpm.search_vals, _xlfn.LAMBDA(_xlpm.v, _xlfn.XLOOKUP(_xlpm.v, 素材!B:B, 素材!A:A, ""))),"[" &amp; _xlfn.TEXTJOIN(",", TRUE, _xlpm.results) &amp; "]")</f>
        <v>[1]</v>
      </c>
      <c r="R54" s="31" t="str" cm="1">
        <f t="array" ref="R54">_xlfn.LET(_xlpm.search_list, _xlfn.HSTACK(M54), _xlpm.output_list, _xlfn.HSTACK(N54), _xlpm.results, _xlfn.MAP(_xlpm.search_list, _xlpm.output_list, _xlfn.LAMBDA(_xlpm.s,_xlpm.o, IF(ISNUMBER(MATCH(_xlpm.s, 素材!B:B, 0)), _xlpm.o, ""))), "[" &amp; _xlfn.TEXTJOIN(",", TRUE, _xlpm.results) &amp; "]")</f>
        <v>[2]</v>
      </c>
      <c r="S54" s="23">
        <f t="shared" si="3"/>
        <v>0.33333333333333331</v>
      </c>
    </row>
    <row r="55" spans="1:19" x14ac:dyDescent="0.2">
      <c r="A55" s="10">
        <f>_xlfn.XLOOKUP(B55, ノード!B:B, ノード!A:A, "")</f>
        <v>10</v>
      </c>
      <c r="B55" s="10" t="s">
        <v>267</v>
      </c>
      <c r="C55" s="10">
        <v>3</v>
      </c>
      <c r="D55" s="10">
        <v>3000</v>
      </c>
      <c r="E55" s="10" t="s">
        <v>56</v>
      </c>
      <c r="F55" s="10">
        <v>3</v>
      </c>
      <c r="G55" s="10" t="s">
        <v>57</v>
      </c>
      <c r="H55" s="10">
        <v>3</v>
      </c>
      <c r="I55" s="10" t="s">
        <v>150</v>
      </c>
      <c r="J55" s="10">
        <v>3</v>
      </c>
      <c r="K55" s="10"/>
      <c r="L55" s="10"/>
      <c r="M55" s="10" t="s">
        <v>64</v>
      </c>
      <c r="N55" s="10">
        <v>3</v>
      </c>
      <c r="O55" s="31" t="str" cm="1">
        <f t="array" ref="O55">_xlfn.LET(_xlpm.search_vals, _xlfn.HSTACK(E55, G55, I55,K55),_xlpm.results, _xlfn.BYCOL(_xlpm.search_vals, _xlfn.LAMBDA(_xlpm.v, _xlfn.XLOOKUP(_xlpm.v, 素材!B:B, 素材!A:A, ""))),"[" &amp; _xlfn.TEXTJOIN(",", TRUE, _xlpm.results) &amp; "]")</f>
        <v>[3,4,5]</v>
      </c>
      <c r="P55" s="31" t="str" cm="1">
        <f t="array" ref="P55">_xlfn.LET(_xlpm.search_list, _xlfn.HSTACK(E55, G55, I55,K55), _xlpm.output_list, _xlfn.HSTACK(F55, H55, J55,L55), _xlpm.results, _xlfn.MAP(_xlpm.search_list, _xlpm.output_list, _xlfn.LAMBDA(_xlpm.s,_xlpm.o, IF(ISNUMBER(MATCH(_xlpm.s, 素材!B:B, 0)), _xlpm.o, ""))), "[" &amp; _xlfn.TEXTJOIN(",", TRUE, _xlpm.results) &amp; "]")</f>
        <v>[3,3,3]</v>
      </c>
      <c r="Q55" s="31" t="str" cm="1">
        <f t="array" ref="Q55">_xlfn.LET(_xlpm.search_vals, _xlfn.HSTACK(M55),_xlpm.results, _xlfn.BYCOL(_xlpm.search_vals, _xlfn.LAMBDA(_xlpm.v, _xlfn.XLOOKUP(_xlpm.v, 素材!B:B, 素材!A:A, ""))),"[" &amp; _xlfn.TEXTJOIN(",", TRUE, _xlpm.results) &amp; "]")</f>
        <v>[1]</v>
      </c>
      <c r="R55" s="31" t="str" cm="1">
        <f t="array" ref="R55">_xlfn.LET(_xlpm.search_list, _xlfn.HSTACK(M55), _xlpm.output_list, _xlfn.HSTACK(N55), _xlpm.results, _xlfn.MAP(_xlpm.search_list, _xlpm.output_list, _xlfn.LAMBDA(_xlpm.s,_xlpm.o, IF(ISNUMBER(MATCH(_xlpm.s, 素材!B:B, 0)), _xlpm.o, ""))), "[" &amp; _xlfn.TEXTJOIN(",", TRUE, _xlpm.results) &amp; "]")</f>
        <v>[3]</v>
      </c>
      <c r="S55" s="23">
        <f t="shared" si="3"/>
        <v>0.33333333333333331</v>
      </c>
    </row>
    <row r="56" spans="1:19" x14ac:dyDescent="0.2">
      <c r="A56" s="10">
        <f>_xlfn.XLOOKUP(B56, ノード!B:B, ノード!A:A, "")</f>
        <v>10</v>
      </c>
      <c r="B56" s="10" t="s">
        <v>267</v>
      </c>
      <c r="C56" s="10">
        <v>4</v>
      </c>
      <c r="D56" s="10">
        <v>4000</v>
      </c>
      <c r="E56" s="10" t="s">
        <v>56</v>
      </c>
      <c r="F56" s="10">
        <v>4</v>
      </c>
      <c r="G56" s="10" t="s">
        <v>57</v>
      </c>
      <c r="H56" s="10">
        <v>4</v>
      </c>
      <c r="I56" s="10" t="s">
        <v>150</v>
      </c>
      <c r="J56" s="10">
        <v>4</v>
      </c>
      <c r="K56" s="10"/>
      <c r="L56" s="10"/>
      <c r="M56" s="10" t="s">
        <v>64</v>
      </c>
      <c r="N56" s="10">
        <v>4</v>
      </c>
      <c r="O56" s="31" t="str" cm="1">
        <f t="array" ref="O56">_xlfn.LET(_xlpm.search_vals, _xlfn.HSTACK(E56, G56, I56,K56),_xlpm.results, _xlfn.BYCOL(_xlpm.search_vals, _xlfn.LAMBDA(_xlpm.v, _xlfn.XLOOKUP(_xlpm.v, 素材!B:B, 素材!A:A, ""))),"[" &amp; _xlfn.TEXTJOIN(",", TRUE, _xlpm.results) &amp; "]")</f>
        <v>[3,4,5]</v>
      </c>
      <c r="P56" s="31" t="str" cm="1">
        <f t="array" ref="P56">_xlfn.LET(_xlpm.search_list, _xlfn.HSTACK(E56, G56, I56,K56), _xlpm.output_list, _xlfn.HSTACK(F56, H56, J56,L56), _xlpm.results, _xlfn.MAP(_xlpm.search_list, _xlpm.output_list, _xlfn.LAMBDA(_xlpm.s,_xlpm.o, IF(ISNUMBER(MATCH(_xlpm.s, 素材!B:B, 0)), _xlpm.o, ""))), "[" &amp; _xlfn.TEXTJOIN(",", TRUE, _xlpm.results) &amp; "]")</f>
        <v>[4,4,4]</v>
      </c>
      <c r="Q56" s="31" t="str" cm="1">
        <f t="array" ref="Q56">_xlfn.LET(_xlpm.search_vals, _xlfn.HSTACK(M56),_xlpm.results, _xlfn.BYCOL(_xlpm.search_vals, _xlfn.LAMBDA(_xlpm.v, _xlfn.XLOOKUP(_xlpm.v, 素材!B:B, 素材!A:A, ""))),"[" &amp; _xlfn.TEXTJOIN(",", TRUE, _xlpm.results) &amp; "]")</f>
        <v>[1]</v>
      </c>
      <c r="R56" s="31" t="str" cm="1">
        <f t="array" ref="R56">_xlfn.LET(_xlpm.search_list, _xlfn.HSTACK(M56), _xlpm.output_list, _xlfn.HSTACK(N56), _xlpm.results, _xlfn.MAP(_xlpm.search_list, _xlpm.output_list, _xlfn.LAMBDA(_xlpm.s,_xlpm.o, IF(ISNUMBER(MATCH(_xlpm.s, 素材!B:B, 0)), _xlpm.o, ""))), "[" &amp; _xlfn.TEXTJOIN(",", TRUE, _xlpm.results) &amp; "]")</f>
        <v>[4]</v>
      </c>
      <c r="S56" s="23">
        <f t="shared" si="3"/>
        <v>0.33333333333333331</v>
      </c>
    </row>
    <row r="57" spans="1:19" x14ac:dyDescent="0.2">
      <c r="A57" s="10">
        <f>_xlfn.XLOOKUP(B57, ノード!B:B, ノード!A:A, "")</f>
        <v>10</v>
      </c>
      <c r="B57" s="10" t="s">
        <v>267</v>
      </c>
      <c r="C57" s="10">
        <v>5</v>
      </c>
      <c r="D57" s="10">
        <v>5000</v>
      </c>
      <c r="E57" s="10" t="s">
        <v>56</v>
      </c>
      <c r="F57" s="10">
        <v>5</v>
      </c>
      <c r="G57" s="10" t="s">
        <v>57</v>
      </c>
      <c r="H57" s="10">
        <v>5</v>
      </c>
      <c r="I57" s="10" t="s">
        <v>150</v>
      </c>
      <c r="J57" s="10">
        <v>5</v>
      </c>
      <c r="K57" s="10"/>
      <c r="L57" s="10"/>
      <c r="M57" s="10" t="s">
        <v>64</v>
      </c>
      <c r="N57" s="10">
        <v>5</v>
      </c>
      <c r="O57" s="31" t="str" cm="1">
        <f t="array" ref="O57">_xlfn.LET(_xlpm.search_vals, _xlfn.HSTACK(E57, G57, I57,K57),_xlpm.results, _xlfn.BYCOL(_xlpm.search_vals, _xlfn.LAMBDA(_xlpm.v, _xlfn.XLOOKUP(_xlpm.v, 素材!B:B, 素材!A:A, ""))),"[" &amp; _xlfn.TEXTJOIN(",", TRUE, _xlpm.results) &amp; "]")</f>
        <v>[3,4,5]</v>
      </c>
      <c r="P57" s="31" t="str" cm="1">
        <f t="array" ref="P57">_xlfn.LET(_xlpm.search_list, _xlfn.HSTACK(E57, G57, I57,K57), _xlpm.output_list, _xlfn.HSTACK(F57, H57, J57,L57), _xlpm.results, _xlfn.MAP(_xlpm.search_list, _xlpm.output_list, _xlfn.LAMBDA(_xlpm.s,_xlpm.o, IF(ISNUMBER(MATCH(_xlpm.s, 素材!B:B, 0)), _xlpm.o, ""))), "[" &amp; _xlfn.TEXTJOIN(",", TRUE, _xlpm.results) &amp; "]")</f>
        <v>[5,5,5]</v>
      </c>
      <c r="Q57" s="31" t="str" cm="1">
        <f t="array" ref="Q57">_xlfn.LET(_xlpm.search_vals, _xlfn.HSTACK(M57),_xlpm.results, _xlfn.BYCOL(_xlpm.search_vals, _xlfn.LAMBDA(_xlpm.v, _xlfn.XLOOKUP(_xlpm.v, 素材!B:B, 素材!A:A, ""))),"[" &amp; _xlfn.TEXTJOIN(",", TRUE, _xlpm.results) &amp; "]")</f>
        <v>[1]</v>
      </c>
      <c r="R57" s="31" t="str" cm="1">
        <f t="array" ref="R57">_xlfn.LET(_xlpm.search_list, _xlfn.HSTACK(M57), _xlpm.output_list, _xlfn.HSTACK(N57), _xlpm.results, _xlfn.MAP(_xlpm.search_list, _xlpm.output_list, _xlfn.LAMBDA(_xlpm.s,_xlpm.o, IF(ISNUMBER(MATCH(_xlpm.s, 素材!B:B, 0)), _xlpm.o, ""))), "[" &amp; _xlfn.TEXTJOIN(",", TRUE, _xlpm.results) &amp; "]")</f>
        <v>[5]</v>
      </c>
      <c r="S57" s="23">
        <f t="shared" si="3"/>
        <v>0.33333333333333331</v>
      </c>
    </row>
    <row r="58" spans="1:19" x14ac:dyDescent="0.2">
      <c r="A58" s="10">
        <f>_xlfn.XLOOKUP(B58, ノード!B:B, ノード!A:A, "")</f>
        <v>10</v>
      </c>
      <c r="B58" s="10" t="s">
        <v>267</v>
      </c>
      <c r="C58" s="10">
        <v>6</v>
      </c>
      <c r="D58" s="10">
        <v>6000</v>
      </c>
      <c r="E58" s="10" t="s">
        <v>56</v>
      </c>
      <c r="F58" s="10">
        <v>6</v>
      </c>
      <c r="G58" s="10" t="s">
        <v>57</v>
      </c>
      <c r="H58" s="10">
        <v>6</v>
      </c>
      <c r="I58" s="10" t="s">
        <v>150</v>
      </c>
      <c r="J58" s="10">
        <v>6</v>
      </c>
      <c r="K58" s="10"/>
      <c r="L58" s="10"/>
      <c r="M58" s="10" t="s">
        <v>64</v>
      </c>
      <c r="N58" s="10">
        <v>6</v>
      </c>
      <c r="O58" s="31" t="str" cm="1">
        <f t="array" ref="O58">_xlfn.LET(_xlpm.search_vals, _xlfn.HSTACK(E58, G58, I58,K58),_xlpm.results, _xlfn.BYCOL(_xlpm.search_vals, _xlfn.LAMBDA(_xlpm.v, _xlfn.XLOOKUP(_xlpm.v, 素材!B:B, 素材!A:A, ""))),"[" &amp; _xlfn.TEXTJOIN(",", TRUE, _xlpm.results) &amp; "]")</f>
        <v>[3,4,5]</v>
      </c>
      <c r="P58" s="31" t="str" cm="1">
        <f t="array" ref="P58">_xlfn.LET(_xlpm.search_list, _xlfn.HSTACK(E58, G58, I58,K58), _xlpm.output_list, _xlfn.HSTACK(F58, H58, J58,L58), _xlpm.results, _xlfn.MAP(_xlpm.search_list, _xlpm.output_list, _xlfn.LAMBDA(_xlpm.s,_xlpm.o, IF(ISNUMBER(MATCH(_xlpm.s, 素材!B:B, 0)), _xlpm.o, ""))), "[" &amp; _xlfn.TEXTJOIN(",", TRUE, _xlpm.results) &amp; "]")</f>
        <v>[6,6,6]</v>
      </c>
      <c r="Q58" s="31" t="str" cm="1">
        <f t="array" ref="Q58">_xlfn.LET(_xlpm.search_vals, _xlfn.HSTACK(M58),_xlpm.results, _xlfn.BYCOL(_xlpm.search_vals, _xlfn.LAMBDA(_xlpm.v, _xlfn.XLOOKUP(_xlpm.v, 素材!B:B, 素材!A:A, ""))),"[" &amp; _xlfn.TEXTJOIN(",", TRUE, _xlpm.results) &amp; "]")</f>
        <v>[1]</v>
      </c>
      <c r="R58" s="31" t="str" cm="1">
        <f t="array" ref="R58">_xlfn.LET(_xlpm.search_list, _xlfn.HSTACK(M58), _xlpm.output_list, _xlfn.HSTACK(N58), _xlpm.results, _xlfn.MAP(_xlpm.search_list, _xlpm.output_list, _xlfn.LAMBDA(_xlpm.s,_xlpm.o, IF(ISNUMBER(MATCH(_xlpm.s, 素材!B:B, 0)), _xlpm.o, ""))), "[" &amp; _xlfn.TEXTJOIN(",", TRUE, _xlpm.results) &amp; "]")</f>
        <v>[6]</v>
      </c>
      <c r="S58" s="23">
        <f t="shared" si="3"/>
        <v>0.33333333333333331</v>
      </c>
    </row>
    <row r="59" spans="1:19" x14ac:dyDescent="0.2">
      <c r="A59" s="10">
        <f>_xlfn.XLOOKUP(B59, ノード!B:B, ノード!A:A, "")</f>
        <v>10</v>
      </c>
      <c r="B59" s="10" t="s">
        <v>267</v>
      </c>
      <c r="C59" s="10">
        <v>7</v>
      </c>
      <c r="D59" s="10">
        <v>7000</v>
      </c>
      <c r="E59" s="10" t="s">
        <v>56</v>
      </c>
      <c r="F59" s="10">
        <v>7</v>
      </c>
      <c r="G59" s="10" t="s">
        <v>57</v>
      </c>
      <c r="H59" s="10">
        <v>7</v>
      </c>
      <c r="I59" s="10" t="s">
        <v>150</v>
      </c>
      <c r="J59" s="10">
        <v>7</v>
      </c>
      <c r="K59" s="10"/>
      <c r="L59" s="10"/>
      <c r="M59" s="10" t="s">
        <v>64</v>
      </c>
      <c r="N59" s="10">
        <v>7</v>
      </c>
      <c r="O59" s="31" t="str" cm="1">
        <f t="array" ref="O59">_xlfn.LET(_xlpm.search_vals, _xlfn.HSTACK(E59, G59, I59,K59),_xlpm.results, _xlfn.BYCOL(_xlpm.search_vals, _xlfn.LAMBDA(_xlpm.v, _xlfn.XLOOKUP(_xlpm.v, 素材!B:B, 素材!A:A, ""))),"[" &amp; _xlfn.TEXTJOIN(",", TRUE, _xlpm.results) &amp; "]")</f>
        <v>[3,4,5]</v>
      </c>
      <c r="P59" s="31" t="str" cm="1">
        <f t="array" ref="P59">_xlfn.LET(_xlpm.search_list, _xlfn.HSTACK(E59, G59, I59,K59), _xlpm.output_list, _xlfn.HSTACK(F59, H59, J59,L59), _xlpm.results, _xlfn.MAP(_xlpm.search_list, _xlpm.output_list, _xlfn.LAMBDA(_xlpm.s,_xlpm.o, IF(ISNUMBER(MATCH(_xlpm.s, 素材!B:B, 0)), _xlpm.o, ""))), "[" &amp; _xlfn.TEXTJOIN(",", TRUE, _xlpm.results) &amp; "]")</f>
        <v>[7,7,7]</v>
      </c>
      <c r="Q59" s="31" t="str" cm="1">
        <f t="array" ref="Q59">_xlfn.LET(_xlpm.search_vals, _xlfn.HSTACK(M59),_xlpm.results, _xlfn.BYCOL(_xlpm.search_vals, _xlfn.LAMBDA(_xlpm.v, _xlfn.XLOOKUP(_xlpm.v, 素材!B:B, 素材!A:A, ""))),"[" &amp; _xlfn.TEXTJOIN(",", TRUE, _xlpm.results) &amp; "]")</f>
        <v>[1]</v>
      </c>
      <c r="R59" s="31" t="str" cm="1">
        <f t="array" ref="R59">_xlfn.LET(_xlpm.search_list, _xlfn.HSTACK(M59), _xlpm.output_list, _xlfn.HSTACK(N59), _xlpm.results, _xlfn.MAP(_xlpm.search_list, _xlpm.output_list, _xlfn.LAMBDA(_xlpm.s,_xlpm.o, IF(ISNUMBER(MATCH(_xlpm.s, 素材!B:B, 0)), _xlpm.o, ""))), "[" &amp; _xlfn.TEXTJOIN(",", TRUE, _xlpm.results) &amp; "]")</f>
        <v>[7]</v>
      </c>
      <c r="S59" s="23">
        <f t="shared" si="3"/>
        <v>0.33333333333333331</v>
      </c>
    </row>
    <row r="60" spans="1:19" x14ac:dyDescent="0.2">
      <c r="A60" s="10">
        <f>_xlfn.XLOOKUP(B60, ノード!B:B, ノード!A:A, "")</f>
        <v>10</v>
      </c>
      <c r="B60" s="10" t="s">
        <v>267</v>
      </c>
      <c r="C60" s="10">
        <v>8</v>
      </c>
      <c r="D60" s="10">
        <v>8000</v>
      </c>
      <c r="E60" s="10" t="s">
        <v>56</v>
      </c>
      <c r="F60" s="10">
        <v>8</v>
      </c>
      <c r="G60" s="10" t="s">
        <v>57</v>
      </c>
      <c r="H60" s="10">
        <v>8</v>
      </c>
      <c r="I60" s="10" t="s">
        <v>150</v>
      </c>
      <c r="J60" s="10">
        <v>8</v>
      </c>
      <c r="K60" s="10"/>
      <c r="L60" s="10"/>
      <c r="M60" s="10" t="s">
        <v>64</v>
      </c>
      <c r="N60" s="10">
        <v>8</v>
      </c>
      <c r="O60" s="31" t="str" cm="1">
        <f t="array" ref="O60">_xlfn.LET(_xlpm.search_vals, _xlfn.HSTACK(E60, G60, I60,K60),_xlpm.results, _xlfn.BYCOL(_xlpm.search_vals, _xlfn.LAMBDA(_xlpm.v, _xlfn.XLOOKUP(_xlpm.v, 素材!B:B, 素材!A:A, ""))),"[" &amp; _xlfn.TEXTJOIN(",", TRUE, _xlpm.results) &amp; "]")</f>
        <v>[3,4,5]</v>
      </c>
      <c r="P60" s="31" t="str" cm="1">
        <f t="array" ref="P60">_xlfn.LET(_xlpm.search_list, _xlfn.HSTACK(E60, G60, I60,K60), _xlpm.output_list, _xlfn.HSTACK(F60, H60, J60,L60), _xlpm.results, _xlfn.MAP(_xlpm.search_list, _xlpm.output_list, _xlfn.LAMBDA(_xlpm.s,_xlpm.o, IF(ISNUMBER(MATCH(_xlpm.s, 素材!B:B, 0)), _xlpm.o, ""))), "[" &amp; _xlfn.TEXTJOIN(",", TRUE, _xlpm.results) &amp; "]")</f>
        <v>[8,8,8]</v>
      </c>
      <c r="Q60" s="31" t="str" cm="1">
        <f t="array" ref="Q60">_xlfn.LET(_xlpm.search_vals, _xlfn.HSTACK(M60),_xlpm.results, _xlfn.BYCOL(_xlpm.search_vals, _xlfn.LAMBDA(_xlpm.v, _xlfn.XLOOKUP(_xlpm.v, 素材!B:B, 素材!A:A, ""))),"[" &amp; _xlfn.TEXTJOIN(",", TRUE, _xlpm.results) &amp; "]")</f>
        <v>[1]</v>
      </c>
      <c r="R60" s="31" t="str" cm="1">
        <f t="array" ref="R60">_xlfn.LET(_xlpm.search_list, _xlfn.HSTACK(M60), _xlpm.output_list, _xlfn.HSTACK(N60), _xlpm.results, _xlfn.MAP(_xlpm.search_list, _xlpm.output_list, _xlfn.LAMBDA(_xlpm.s,_xlpm.o, IF(ISNUMBER(MATCH(_xlpm.s, 素材!B:B, 0)), _xlpm.o, ""))), "[" &amp; _xlfn.TEXTJOIN(",", TRUE, _xlpm.results) &amp; "]")</f>
        <v>[8]</v>
      </c>
      <c r="S60" s="23">
        <f t="shared" si="3"/>
        <v>0.33333333333333331</v>
      </c>
    </row>
    <row r="61" spans="1:19" x14ac:dyDescent="0.2">
      <c r="A61" s="10">
        <f>_xlfn.XLOOKUP(B61, ノード!B:B, ノード!A:A, "")</f>
        <v>10</v>
      </c>
      <c r="B61" s="10" t="s">
        <v>267</v>
      </c>
      <c r="C61" s="10">
        <v>9</v>
      </c>
      <c r="D61" s="10">
        <v>9000</v>
      </c>
      <c r="E61" s="10" t="s">
        <v>56</v>
      </c>
      <c r="F61" s="10">
        <v>9</v>
      </c>
      <c r="G61" s="10" t="s">
        <v>57</v>
      </c>
      <c r="H61" s="10">
        <v>9</v>
      </c>
      <c r="I61" s="10" t="s">
        <v>150</v>
      </c>
      <c r="J61" s="10">
        <v>9</v>
      </c>
      <c r="K61" s="10"/>
      <c r="L61" s="10"/>
      <c r="M61" s="10" t="s">
        <v>64</v>
      </c>
      <c r="N61" s="10">
        <v>9</v>
      </c>
      <c r="O61" s="31" t="str" cm="1">
        <f t="array" ref="O61">_xlfn.LET(_xlpm.search_vals, _xlfn.HSTACK(E61, G61, I61,K61),_xlpm.results, _xlfn.BYCOL(_xlpm.search_vals, _xlfn.LAMBDA(_xlpm.v, _xlfn.XLOOKUP(_xlpm.v, 素材!B:B, 素材!A:A, ""))),"[" &amp; _xlfn.TEXTJOIN(",", TRUE, _xlpm.results) &amp; "]")</f>
        <v>[3,4,5]</v>
      </c>
      <c r="P61" s="31" t="str" cm="1">
        <f t="array" ref="P61">_xlfn.LET(_xlpm.search_list, _xlfn.HSTACK(E61, G61, I61,K61), _xlpm.output_list, _xlfn.HSTACK(F61, H61, J61,L61), _xlpm.results, _xlfn.MAP(_xlpm.search_list, _xlpm.output_list, _xlfn.LAMBDA(_xlpm.s,_xlpm.o, IF(ISNUMBER(MATCH(_xlpm.s, 素材!B:B, 0)), _xlpm.o, ""))), "[" &amp; _xlfn.TEXTJOIN(",", TRUE, _xlpm.results) &amp; "]")</f>
        <v>[9,9,9]</v>
      </c>
      <c r="Q61" s="31" t="str" cm="1">
        <f t="array" ref="Q61">_xlfn.LET(_xlpm.search_vals, _xlfn.HSTACK(M61),_xlpm.results, _xlfn.BYCOL(_xlpm.search_vals, _xlfn.LAMBDA(_xlpm.v, _xlfn.XLOOKUP(_xlpm.v, 素材!B:B, 素材!A:A, ""))),"[" &amp; _xlfn.TEXTJOIN(",", TRUE, _xlpm.results) &amp; "]")</f>
        <v>[1]</v>
      </c>
      <c r="R61" s="31" t="str" cm="1">
        <f t="array" ref="R61">_xlfn.LET(_xlpm.search_list, _xlfn.HSTACK(M61), _xlpm.output_list, _xlfn.HSTACK(N61), _xlpm.results, _xlfn.MAP(_xlpm.search_list, _xlpm.output_list, _xlfn.LAMBDA(_xlpm.s,_xlpm.o, IF(ISNUMBER(MATCH(_xlpm.s, 素材!B:B, 0)), _xlpm.o, ""))), "[" &amp; _xlfn.TEXTJOIN(",", TRUE, _xlpm.results) &amp; "]")</f>
        <v>[9]</v>
      </c>
      <c r="S61" s="23">
        <f t="shared" si="3"/>
        <v>0.33333333333333331</v>
      </c>
    </row>
    <row r="62" spans="1:19" x14ac:dyDescent="0.2">
      <c r="A62" s="10">
        <f>_xlfn.XLOOKUP(B62, ノード!B:B, ノード!A:A, "")</f>
        <v>10</v>
      </c>
      <c r="B62" s="10" t="s">
        <v>267</v>
      </c>
      <c r="C62" s="10">
        <v>10</v>
      </c>
      <c r="D62" s="10">
        <v>10000</v>
      </c>
      <c r="E62" s="10" t="s">
        <v>56</v>
      </c>
      <c r="F62" s="10">
        <v>10</v>
      </c>
      <c r="G62" s="10" t="s">
        <v>57</v>
      </c>
      <c r="H62" s="10">
        <v>10</v>
      </c>
      <c r="I62" s="10" t="s">
        <v>150</v>
      </c>
      <c r="J62" s="10">
        <v>10</v>
      </c>
      <c r="K62" s="10"/>
      <c r="L62" s="10"/>
      <c r="M62" s="10" t="s">
        <v>64</v>
      </c>
      <c r="N62" s="10">
        <v>10</v>
      </c>
      <c r="O62" s="31" t="str" cm="1">
        <f t="array" ref="O62">_xlfn.LET(_xlpm.search_vals, _xlfn.HSTACK(E62, G62, I62,K62),_xlpm.results, _xlfn.BYCOL(_xlpm.search_vals, _xlfn.LAMBDA(_xlpm.v, _xlfn.XLOOKUP(_xlpm.v, 素材!B:B, 素材!A:A, ""))),"[" &amp; _xlfn.TEXTJOIN(",", TRUE, _xlpm.results) &amp; "]")</f>
        <v>[3,4,5]</v>
      </c>
      <c r="P62" s="31" t="str" cm="1">
        <f t="array" ref="P62">_xlfn.LET(_xlpm.search_list, _xlfn.HSTACK(E62, G62, I62,K62), _xlpm.output_list, _xlfn.HSTACK(F62, H62, J62,L62), _xlpm.results, _xlfn.MAP(_xlpm.search_list, _xlpm.output_list, _xlfn.LAMBDA(_xlpm.s,_xlpm.o, IF(ISNUMBER(MATCH(_xlpm.s, 素材!B:B, 0)), _xlpm.o, ""))), "[" &amp; _xlfn.TEXTJOIN(",", TRUE, _xlpm.results) &amp; "]")</f>
        <v>[10,10,10]</v>
      </c>
      <c r="Q62" s="31" t="str" cm="1">
        <f t="array" ref="Q62">_xlfn.LET(_xlpm.search_vals, _xlfn.HSTACK(M62),_xlpm.results, _xlfn.BYCOL(_xlpm.search_vals, _xlfn.LAMBDA(_xlpm.v, _xlfn.XLOOKUP(_xlpm.v, 素材!B:B, 素材!A:A, ""))),"[" &amp; _xlfn.TEXTJOIN(",", TRUE, _xlpm.results) &amp; "]")</f>
        <v>[1]</v>
      </c>
      <c r="R62" s="31" t="str" cm="1">
        <f t="array" ref="R62">_xlfn.LET(_xlpm.search_list, _xlfn.HSTACK(M62), _xlpm.output_list, _xlfn.HSTACK(N62), _xlpm.results, _xlfn.MAP(_xlpm.search_list, _xlpm.output_list, _xlfn.LAMBDA(_xlpm.s,_xlpm.o, IF(ISNUMBER(MATCH(_xlpm.s, 素材!B:B, 0)), _xlpm.o, ""))), "[" &amp; _xlfn.TEXTJOIN(",", TRUE, _xlpm.results) &amp; "]")</f>
        <v>[10]</v>
      </c>
      <c r="S62" s="23">
        <f t="shared" si="3"/>
        <v>0.33333333333333331</v>
      </c>
    </row>
    <row r="63" spans="1:19" x14ac:dyDescent="0.2">
      <c r="A63" s="10">
        <f>_xlfn.XLOOKUP(B63, ノード!B:B, ノード!A:A, "")</f>
        <v>9</v>
      </c>
      <c r="B63" s="10" t="s">
        <v>257</v>
      </c>
      <c r="C63" s="10">
        <v>2</v>
      </c>
      <c r="D63" s="10">
        <v>2</v>
      </c>
      <c r="E63" s="10" t="s">
        <v>150</v>
      </c>
      <c r="F63" s="10">
        <v>30</v>
      </c>
      <c r="G63" s="10"/>
      <c r="H63" s="10"/>
      <c r="I63" s="10"/>
      <c r="J63" s="10"/>
      <c r="K63" s="10"/>
      <c r="L63" s="10"/>
      <c r="M63" s="10" t="s">
        <v>64</v>
      </c>
      <c r="N63" s="10">
        <v>30</v>
      </c>
      <c r="O63" s="31" t="str" cm="1">
        <f t="array" ref="O63">_xlfn.LET(_xlpm.search_vals, _xlfn.HSTACK(E63, G63, I63,K63),_xlpm.results, _xlfn.BYCOL(_xlpm.search_vals, _xlfn.LAMBDA(_xlpm.v, _xlfn.XLOOKUP(_xlpm.v, 素材!B:B, 素材!A:A, ""))),"[" &amp; _xlfn.TEXTJOIN(",", TRUE, _xlpm.results) &amp; "]")</f>
        <v>[5]</v>
      </c>
      <c r="P63" s="31" t="str" cm="1">
        <f t="array" ref="P63">_xlfn.LET(_xlpm.search_list, _xlfn.HSTACK(E63, G63, I63,K63), _xlpm.output_list, _xlfn.HSTACK(F63, H63, J63,L63), _xlpm.results, _xlfn.MAP(_xlpm.search_list, _xlpm.output_list, _xlfn.LAMBDA(_xlpm.s,_xlpm.o, IF(ISNUMBER(MATCH(_xlpm.s, 素材!B:B, 0)), _xlpm.o, ""))), "[" &amp; _xlfn.TEXTJOIN(",", TRUE, _xlpm.results) &amp; "]")</f>
        <v>[30]</v>
      </c>
      <c r="Q63" s="31" t="str" cm="1">
        <f t="array" ref="Q63">_xlfn.LET(_xlpm.search_vals, _xlfn.HSTACK(M63),_xlpm.results, _xlfn.BYCOL(_xlpm.search_vals, _xlfn.LAMBDA(_xlpm.v, _xlfn.XLOOKUP(_xlpm.v, 素材!B:B, 素材!A:A, ""))),"[" &amp; _xlfn.TEXTJOIN(",", TRUE, _xlpm.results) &amp; "]")</f>
        <v>[1]</v>
      </c>
      <c r="R63" s="31" t="str" cm="1">
        <f t="array" ref="R63">_xlfn.LET(_xlpm.search_list, _xlfn.HSTACK(M63), _xlpm.output_list, _xlfn.HSTACK(N63), _xlpm.results, _xlfn.MAP(_xlpm.search_list, _xlpm.output_list, _xlfn.LAMBDA(_xlpm.s,_xlpm.o, IF(ISNUMBER(MATCH(_xlpm.s, 素材!B:B, 0)), _xlpm.o, ""))), "[" &amp; _xlfn.TEXTJOIN(",", TRUE, _xlpm.results) &amp; "]")</f>
        <v>[30]</v>
      </c>
      <c r="S63" s="23">
        <f t="shared" si="0"/>
        <v>1</v>
      </c>
    </row>
    <row r="64" spans="1:19" x14ac:dyDescent="0.2">
      <c r="A64" s="9" t="s">
        <v>31</v>
      </c>
      <c r="B64" s="9"/>
      <c r="C64" s="9"/>
      <c r="D64" s="9"/>
      <c r="E64" s="9"/>
      <c r="F64" s="9"/>
      <c r="G64" s="9"/>
      <c r="H64" s="9"/>
      <c r="I64" s="9"/>
      <c r="J64" s="9"/>
      <c r="K64" s="9"/>
      <c r="L64" s="9"/>
      <c r="M64" s="9"/>
      <c r="N64" s="9"/>
      <c r="O64" s="9"/>
      <c r="P64" s="9"/>
      <c r="Q64" s="9"/>
      <c r="R64" s="9"/>
    </row>
    <row r="69" spans="1:1" x14ac:dyDescent="0.2">
      <c r="A69" s="59" t="s">
        <v>122</v>
      </c>
    </row>
    <row r="70" spans="1:1" x14ac:dyDescent="0.2">
      <c r="A70" s="22" t="s">
        <v>123</v>
      </c>
    </row>
  </sheetData>
  <phoneticPr fontId="11"/>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770050E5-EADC-4156-A021-3A45829DD75B}">
          <x14:formula1>
            <xm:f>ノード!$B$6:$B$210</xm:f>
          </x14:formula1>
          <xm:sqref>B6:B63</xm:sqref>
        </x14:dataValidation>
        <x14:dataValidation type="list" allowBlank="1" showInputMessage="1" showErrorMessage="1" xr:uid="{0FC05FBD-FE91-4D8A-A5AF-5D96D3C0E952}">
          <x14:formula1>
            <xm:f>素材!$B$6:$B$108</xm:f>
          </x14:formula1>
          <xm:sqref>G6:G63 I6:I63 K6:K63 E6:E63 M6:M63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72D72D-DBBA-4A77-8CDA-4DCF4EAE9865}">
  <sheetPr codeName="Sheet4"/>
  <dimension ref="A3:D22"/>
  <sheetViews>
    <sheetView tabSelected="1" workbookViewId="0">
      <selection activeCell="D59" sqref="D59"/>
    </sheetView>
  </sheetViews>
  <sheetFormatPr defaultRowHeight="13" x14ac:dyDescent="0.2"/>
  <cols>
    <col min="1" max="1" width="7.08984375" style="22" customWidth="1"/>
    <col min="2" max="2" width="11.36328125" style="22" customWidth="1"/>
    <col min="3" max="3" width="73.1796875" style="22" bestFit="1" customWidth="1"/>
    <col min="4" max="4" width="18.26953125" style="22" bestFit="1" customWidth="1"/>
  </cols>
  <sheetData>
    <row r="3" spans="1:4" x14ac:dyDescent="0.2">
      <c r="A3" s="9" t="s">
        <v>29</v>
      </c>
      <c r="B3" s="9"/>
      <c r="C3" s="9"/>
      <c r="D3" s="9"/>
    </row>
    <row r="4" spans="1:4" x14ac:dyDescent="0.2">
      <c r="A4" s="11" t="s">
        <v>96</v>
      </c>
      <c r="B4" s="11" t="s">
        <v>159</v>
      </c>
      <c r="C4" s="11" t="s">
        <v>84</v>
      </c>
      <c r="D4" s="11" t="s">
        <v>161</v>
      </c>
    </row>
    <row r="5" spans="1:4" x14ac:dyDescent="0.2">
      <c r="A5" s="12" t="s">
        <v>86</v>
      </c>
      <c r="B5" s="12" t="s">
        <v>158</v>
      </c>
      <c r="C5" s="12" t="s">
        <v>71</v>
      </c>
      <c r="D5" s="12" t="s">
        <v>160</v>
      </c>
    </row>
    <row r="6" spans="1:4" x14ac:dyDescent="0.2">
      <c r="A6" s="10">
        <v>1</v>
      </c>
      <c r="B6" s="10">
        <v>0</v>
      </c>
      <c r="C6" s="10" t="s">
        <v>171</v>
      </c>
      <c r="D6" s="10">
        <v>1</v>
      </c>
    </row>
    <row r="7" spans="1:4" x14ac:dyDescent="0.2">
      <c r="A7" s="10">
        <v>1</v>
      </c>
      <c r="B7" s="10">
        <v>1</v>
      </c>
      <c r="C7" s="10" t="s">
        <v>162</v>
      </c>
      <c r="D7" s="10">
        <v>2</v>
      </c>
    </row>
    <row r="8" spans="1:4" x14ac:dyDescent="0.2">
      <c r="A8" s="10">
        <v>1</v>
      </c>
      <c r="B8" s="10">
        <v>2</v>
      </c>
      <c r="C8" s="10" t="s">
        <v>163</v>
      </c>
      <c r="D8" s="10">
        <v>3</v>
      </c>
    </row>
    <row r="9" spans="1:4" ht="24" x14ac:dyDescent="0.2">
      <c r="A9" s="10">
        <v>1</v>
      </c>
      <c r="B9" s="10">
        <v>3</v>
      </c>
      <c r="C9" s="64" t="s">
        <v>240</v>
      </c>
      <c r="D9" s="10">
        <v>4</v>
      </c>
    </row>
    <row r="10" spans="1:4" x14ac:dyDescent="0.2">
      <c r="A10" s="10">
        <v>1</v>
      </c>
      <c r="B10" s="10">
        <v>4</v>
      </c>
      <c r="C10" s="10" t="s">
        <v>164</v>
      </c>
      <c r="D10" s="10" t="s">
        <v>241</v>
      </c>
    </row>
    <row r="11" spans="1:4" x14ac:dyDescent="0.2">
      <c r="A11" s="10">
        <v>1</v>
      </c>
      <c r="B11" s="10">
        <v>5</v>
      </c>
      <c r="C11" s="10" t="s">
        <v>165</v>
      </c>
      <c r="D11" s="10" t="s">
        <v>241</v>
      </c>
    </row>
    <row r="12" spans="1:4" x14ac:dyDescent="0.2">
      <c r="A12" s="10">
        <v>1</v>
      </c>
      <c r="B12" s="10">
        <v>6</v>
      </c>
      <c r="C12" s="10" t="s">
        <v>203</v>
      </c>
      <c r="D12" s="10">
        <v>5</v>
      </c>
    </row>
    <row r="13" spans="1:4" x14ac:dyDescent="0.2">
      <c r="A13" s="10">
        <v>1</v>
      </c>
      <c r="B13" s="10">
        <v>7</v>
      </c>
      <c r="C13" s="10" t="s">
        <v>204</v>
      </c>
      <c r="D13" s="10" t="s">
        <v>241</v>
      </c>
    </row>
    <row r="14" spans="1:4" x14ac:dyDescent="0.2">
      <c r="A14" s="10">
        <v>2</v>
      </c>
      <c r="B14" s="10">
        <v>1</v>
      </c>
      <c r="C14" s="10" t="s">
        <v>98</v>
      </c>
      <c r="D14" s="10">
        <v>6</v>
      </c>
    </row>
    <row r="15" spans="1:4" x14ac:dyDescent="0.2">
      <c r="A15" s="9" t="s">
        <v>31</v>
      </c>
      <c r="B15" s="9"/>
      <c r="C15" s="9"/>
      <c r="D15" s="9"/>
    </row>
    <row r="21" spans="1:1" x14ac:dyDescent="0.2">
      <c r="A21" s="59" t="s">
        <v>122</v>
      </c>
    </row>
    <row r="22" spans="1:1" x14ac:dyDescent="0.2">
      <c r="A22" s="22" t="s">
        <v>287</v>
      </c>
    </row>
  </sheetData>
  <phoneticPr fontId="1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7565B8-084C-42FC-8F6F-C37990DB405C}">
  <sheetPr codeName="Sheet3">
    <tabColor theme="5" tint="0.39997558519241921"/>
  </sheetPr>
  <dimension ref="A3:S28"/>
  <sheetViews>
    <sheetView workbookViewId="0">
      <selection activeCell="L6" sqref="L6"/>
    </sheetView>
  </sheetViews>
  <sheetFormatPr defaultRowHeight="13" x14ac:dyDescent="0.2"/>
  <cols>
    <col min="1" max="2" width="7.08984375" style="22" customWidth="1"/>
    <col min="3" max="3" width="26.08984375" style="22" bestFit="1" customWidth="1"/>
    <col min="4" max="4" width="53.6328125" style="22" customWidth="1"/>
    <col min="5" max="5" width="11.1796875" style="22" bestFit="1" customWidth="1"/>
    <col min="6" max="6" width="11.1796875" style="22" customWidth="1"/>
    <col min="7" max="7" width="10.36328125" bestFit="1" customWidth="1"/>
    <col min="8" max="8" width="14.36328125" style="22" bestFit="1" customWidth="1"/>
    <col min="9" max="10" width="9.453125" style="22" bestFit="1" customWidth="1"/>
    <col min="11" max="11" width="24.1796875" style="22" bestFit="1" customWidth="1"/>
    <col min="12" max="12" width="7.81640625" style="22" bestFit="1" customWidth="1"/>
    <col min="13" max="13" width="7.26953125" style="22" customWidth="1"/>
    <col min="14" max="14" width="18.26953125" style="22" bestFit="1" customWidth="1"/>
    <col min="15" max="15" width="13" bestFit="1" customWidth="1"/>
    <col min="16" max="17" width="12.90625" style="22" customWidth="1"/>
    <col min="18" max="19" width="12.90625" customWidth="1"/>
    <col min="20" max="20" width="16.36328125" customWidth="1"/>
  </cols>
  <sheetData>
    <row r="3" spans="1:19" x14ac:dyDescent="0.2">
      <c r="A3" s="9" t="s">
        <v>29</v>
      </c>
      <c r="B3" s="9"/>
      <c r="C3" s="9"/>
      <c r="D3" s="9"/>
      <c r="E3" s="9"/>
      <c r="F3" s="9"/>
      <c r="G3" s="9"/>
      <c r="H3" s="9"/>
      <c r="I3" s="9"/>
      <c r="J3" s="9"/>
      <c r="K3" s="9"/>
      <c r="L3" s="9"/>
      <c r="M3" s="9"/>
      <c r="N3" s="9"/>
      <c r="O3" s="9"/>
      <c r="P3" s="9"/>
      <c r="Q3" s="9"/>
      <c r="R3" s="9"/>
      <c r="S3" s="9"/>
    </row>
    <row r="4" spans="1:19" x14ac:dyDescent="0.2">
      <c r="A4" s="11" t="s">
        <v>96</v>
      </c>
      <c r="B4" s="11" t="s">
        <v>167</v>
      </c>
      <c r="C4" s="11" t="s">
        <v>83</v>
      </c>
      <c r="D4" s="11" t="s">
        <v>84</v>
      </c>
      <c r="E4" s="11" t="s">
        <v>87</v>
      </c>
      <c r="F4" s="68" t="s">
        <v>233</v>
      </c>
      <c r="G4" s="67" t="s">
        <v>173</v>
      </c>
      <c r="H4" s="33" t="s">
        <v>300</v>
      </c>
      <c r="I4" s="33" t="s">
        <v>73</v>
      </c>
      <c r="J4" s="33" t="s">
        <v>73</v>
      </c>
      <c r="K4" s="33" t="s">
        <v>188</v>
      </c>
      <c r="L4" s="11" t="s">
        <v>305</v>
      </c>
      <c r="M4" s="11" t="s">
        <v>304</v>
      </c>
      <c r="N4" s="33" t="s">
        <v>92</v>
      </c>
      <c r="O4" s="33" t="s">
        <v>93</v>
      </c>
      <c r="P4" s="65" t="s">
        <v>169</v>
      </c>
      <c r="Q4" s="65" t="s">
        <v>300</v>
      </c>
      <c r="R4" s="65" t="s">
        <v>92</v>
      </c>
      <c r="S4" s="65" t="s">
        <v>93</v>
      </c>
    </row>
    <row r="5" spans="1:19" x14ac:dyDescent="0.2">
      <c r="A5" s="12" t="s">
        <v>86</v>
      </c>
      <c r="B5" s="12" t="s">
        <v>166</v>
      </c>
      <c r="C5" s="12" t="s">
        <v>82</v>
      </c>
      <c r="D5" s="12" t="s">
        <v>71</v>
      </c>
      <c r="E5" s="12" t="s">
        <v>242</v>
      </c>
      <c r="F5" s="12"/>
      <c r="G5" s="12" t="s">
        <v>306</v>
      </c>
      <c r="H5" s="12"/>
      <c r="I5" s="12"/>
      <c r="J5" s="12"/>
      <c r="K5" s="12"/>
      <c r="L5" s="12" t="s">
        <v>172</v>
      </c>
      <c r="M5" s="12" t="s">
        <v>137</v>
      </c>
      <c r="N5" s="12"/>
      <c r="O5" s="12"/>
      <c r="P5" s="12" t="s">
        <v>170</v>
      </c>
      <c r="Q5" s="12" t="s">
        <v>88</v>
      </c>
      <c r="R5" s="12" t="s">
        <v>90</v>
      </c>
      <c r="S5" s="12" t="s">
        <v>91</v>
      </c>
    </row>
    <row r="6" spans="1:19" x14ac:dyDescent="0.2">
      <c r="A6" s="10">
        <v>1</v>
      </c>
      <c r="B6" s="10">
        <v>1</v>
      </c>
      <c r="C6" s="10" t="s">
        <v>254</v>
      </c>
      <c r="D6" s="64" t="s">
        <v>253</v>
      </c>
      <c r="E6" s="10" t="s">
        <v>241</v>
      </c>
      <c r="F6" s="10" t="s">
        <v>225</v>
      </c>
      <c r="G6" s="10">
        <f ca="1">OFFSET(依頼主!$A$1,MATCH(F6,依頼主!B:B,0)-1,0)</f>
        <v>10</v>
      </c>
      <c r="H6" s="10" t="s">
        <v>127</v>
      </c>
      <c r="I6" s="10"/>
      <c r="J6" s="10"/>
      <c r="K6" s="10" t="s">
        <v>192</v>
      </c>
      <c r="L6" s="10">
        <v>1</v>
      </c>
      <c r="M6" s="10" t="s">
        <v>271</v>
      </c>
      <c r="N6" s="10" t="s">
        <v>189</v>
      </c>
      <c r="O6" s="10" t="s">
        <v>189</v>
      </c>
      <c r="P6" s="10">
        <f ca="1">OFFSET(依頼種別!$A$1, MATCH(K6,依頼種別!B:B,0)-1,0)</f>
        <v>9</v>
      </c>
      <c r="Q6" s="10" t="str" cm="1">
        <f t="array" ref="Q6">_xlfn.LET(_xlpm.search_vals, _xlfn.HSTACK(H6, I6, J6),_xlpm.results, _xlfn.BYCOL(_xlpm.search_vals, _xlfn.LAMBDA(_xlpm.v, _xlfn.XLOOKUP(_xlpm.v, ノード!B:B, ノード!A:A, ""))),"[" &amp; _xlfn.TEXTJOIN(",", TRUE, _xlpm.results) &amp; "]")</f>
        <v>[3]</v>
      </c>
      <c r="R6" s="10">
        <f>_xlfn.XLOOKUP(N6, 'バフ、デバフ'!B:B, 'バフ、デバフ'!A:A, "")</f>
        <v>1</v>
      </c>
      <c r="S6" s="10">
        <f>_xlfn.XLOOKUP(O6, 'バフ、デバフ'!B:B, 'バフ、デバフ'!A:A, "")</f>
        <v>1</v>
      </c>
    </row>
    <row r="7" spans="1:19" x14ac:dyDescent="0.2">
      <c r="A7" s="10">
        <v>1</v>
      </c>
      <c r="B7" s="10">
        <v>1</v>
      </c>
      <c r="C7" s="10" t="s">
        <v>255</v>
      </c>
      <c r="D7" s="64" t="s">
        <v>256</v>
      </c>
      <c r="E7" s="10" t="s">
        <v>241</v>
      </c>
      <c r="F7" s="10" t="s">
        <v>218</v>
      </c>
      <c r="G7" s="10">
        <f ca="1">OFFSET(依頼主!$A$1,MATCH(F7,依頼主!B:B,0)-1,0)</f>
        <v>3</v>
      </c>
      <c r="H7" s="10" t="s">
        <v>128</v>
      </c>
      <c r="I7" s="10"/>
      <c r="J7" s="10"/>
      <c r="K7" s="10" t="s">
        <v>192</v>
      </c>
      <c r="L7" s="10">
        <v>1</v>
      </c>
      <c r="M7" s="10" t="s">
        <v>271</v>
      </c>
      <c r="N7" s="10" t="s">
        <v>189</v>
      </c>
      <c r="O7" s="10" t="s">
        <v>189</v>
      </c>
      <c r="P7" s="10">
        <f ca="1">OFFSET(依頼種別!$A$1, MATCH(K7,依頼種別!B:B,0)-1,0)</f>
        <v>9</v>
      </c>
      <c r="Q7" s="10" t="str" cm="1">
        <f t="array" ref="Q7">_xlfn.LET(_xlpm.search_vals, _xlfn.HSTACK(H7, I7, J7),_xlpm.results, _xlfn.BYCOL(_xlpm.search_vals, _xlfn.LAMBDA(_xlpm.v, _xlfn.XLOOKUP(_xlpm.v, ノード!B:B, ノード!A:A, ""))),"[" &amp; _xlfn.TEXTJOIN(",", TRUE, _xlpm.results) &amp; "]")</f>
        <v>[4]</v>
      </c>
      <c r="R7" s="10">
        <f>_xlfn.XLOOKUP(N7, 'バフ、デバフ'!B:B, 'バフ、デバフ'!A:A, "")</f>
        <v>1</v>
      </c>
      <c r="S7" s="10">
        <f>_xlfn.XLOOKUP(O7, 'バフ、デバフ'!B:B, 'バフ、デバフ'!A:A, "")</f>
        <v>1</v>
      </c>
    </row>
    <row r="8" spans="1:19" x14ac:dyDescent="0.2">
      <c r="A8" s="10">
        <v>1</v>
      </c>
      <c r="B8" s="10">
        <v>2</v>
      </c>
      <c r="C8" s="10" t="s">
        <v>259</v>
      </c>
      <c r="D8" s="64" t="s">
        <v>261</v>
      </c>
      <c r="E8" s="10" t="s">
        <v>241</v>
      </c>
      <c r="F8" s="10" t="s">
        <v>225</v>
      </c>
      <c r="G8" s="10">
        <f ca="1">OFFSET(依頼主!$A$1,MATCH(F8,依頼主!B:B,0)-1,0)</f>
        <v>10</v>
      </c>
      <c r="H8" s="10" t="s">
        <v>257</v>
      </c>
      <c r="I8" s="10"/>
      <c r="J8" s="10"/>
      <c r="K8" s="10" t="s">
        <v>176</v>
      </c>
      <c r="L8" s="10">
        <v>0</v>
      </c>
      <c r="M8" s="10" t="s">
        <v>271</v>
      </c>
      <c r="N8" s="10" t="s">
        <v>270</v>
      </c>
      <c r="O8" s="10" t="s">
        <v>189</v>
      </c>
      <c r="P8" s="10">
        <f ca="1">OFFSET(依頼種別!$A$1, MATCH(K8,依頼種別!B:B,0)-1,0)</f>
        <v>3</v>
      </c>
      <c r="Q8" s="10" t="str" cm="1">
        <f t="array" ref="Q8">_xlfn.LET(_xlpm.search_vals, _xlfn.HSTACK(H8, I8, J8),_xlpm.results, _xlfn.BYCOL(_xlpm.search_vals, _xlfn.LAMBDA(_xlpm.v, _xlfn.XLOOKUP(_xlpm.v, ノード!B:B, ノード!A:A, ""))),"[" &amp; _xlfn.TEXTJOIN(",", TRUE, _xlpm.results) &amp; "]")</f>
        <v>[9]</v>
      </c>
      <c r="R8" s="10">
        <f>_xlfn.XLOOKUP(N8, 'バフ、デバフ'!B:B, 'バフ、デバフ'!A:A, "")</f>
        <v>5</v>
      </c>
      <c r="S8" s="10">
        <f>_xlfn.XLOOKUP(O8, 'バフ、デバフ'!B:B, 'バフ、デバフ'!A:A, "")</f>
        <v>1</v>
      </c>
    </row>
    <row r="9" spans="1:19" x14ac:dyDescent="0.2">
      <c r="A9" s="10">
        <v>1</v>
      </c>
      <c r="B9" s="10">
        <v>2</v>
      </c>
      <c r="C9" s="10" t="s">
        <v>260</v>
      </c>
      <c r="D9" s="64" t="s">
        <v>262</v>
      </c>
      <c r="E9" s="10" t="s">
        <v>241</v>
      </c>
      <c r="F9" s="10" t="s">
        <v>224</v>
      </c>
      <c r="G9" s="10">
        <f ca="1">OFFSET(依頼主!$A$1,MATCH(F9,依頼主!B:B,0)-1,0)</f>
        <v>9</v>
      </c>
      <c r="H9" s="10" t="s">
        <v>128</v>
      </c>
      <c r="I9" s="10"/>
      <c r="J9" s="10"/>
      <c r="K9" s="10" t="s">
        <v>247</v>
      </c>
      <c r="L9" s="10">
        <v>1</v>
      </c>
      <c r="M9" s="10">
        <v>2</v>
      </c>
      <c r="N9" s="10" t="s">
        <v>189</v>
      </c>
      <c r="O9" s="10" t="s">
        <v>189</v>
      </c>
      <c r="P9" s="10">
        <f ca="1">OFFSET(依頼種別!$A$1, MATCH(K9,依頼種別!B:B,0)-1,0)</f>
        <v>4</v>
      </c>
      <c r="Q9" s="10" t="str" cm="1">
        <f t="array" ref="Q9">_xlfn.LET(_xlpm.search_vals, _xlfn.HSTACK(H9, I9, J9),_xlpm.results, _xlfn.BYCOL(_xlpm.search_vals, _xlfn.LAMBDA(_xlpm.v, _xlfn.XLOOKUP(_xlpm.v, ノード!B:B, ノード!A:A, ""))),"[" &amp; _xlfn.TEXTJOIN(",", TRUE, _xlpm.results) &amp; "]")</f>
        <v>[4]</v>
      </c>
      <c r="R9" s="10">
        <f>_xlfn.XLOOKUP(N9, 'バフ、デバフ'!B:B, 'バフ、デバフ'!A:A, "")</f>
        <v>1</v>
      </c>
      <c r="S9" s="10">
        <f>_xlfn.XLOOKUP(O9, 'バフ、デバフ'!B:B, 'バフ、デバフ'!A:A, "")</f>
        <v>1</v>
      </c>
    </row>
    <row r="10" spans="1:19" x14ac:dyDescent="0.2">
      <c r="A10" s="10">
        <v>1</v>
      </c>
      <c r="B10" s="10">
        <v>2</v>
      </c>
      <c r="C10" s="10" t="s">
        <v>263</v>
      </c>
      <c r="D10" s="64" t="s">
        <v>264</v>
      </c>
      <c r="E10" s="10" t="s">
        <v>241</v>
      </c>
      <c r="F10" s="10" t="s">
        <v>223</v>
      </c>
      <c r="G10" s="10">
        <f ca="1">OFFSET(依頼主!$A$1,MATCH(F10,依頼主!B:B,0)-1,0)</f>
        <v>8</v>
      </c>
      <c r="H10" s="10" t="s">
        <v>128</v>
      </c>
      <c r="I10" s="10"/>
      <c r="J10" s="10"/>
      <c r="K10" s="10" t="s">
        <v>182</v>
      </c>
      <c r="L10" s="10" t="s">
        <v>241</v>
      </c>
      <c r="M10" s="10">
        <v>3</v>
      </c>
      <c r="N10" s="10" t="s">
        <v>272</v>
      </c>
      <c r="O10" s="10" t="s">
        <v>189</v>
      </c>
      <c r="P10" s="10">
        <f ca="1">OFFSET(依頼種別!$A$1, MATCH(K10,依頼種別!B:B,0)-1,0)</f>
        <v>5</v>
      </c>
      <c r="Q10" s="10" t="str" cm="1">
        <f t="array" ref="Q10">_xlfn.LET(_xlpm.search_vals, _xlfn.HSTACK(H10, I10, J10),_xlpm.results, _xlfn.BYCOL(_xlpm.search_vals, _xlfn.LAMBDA(_xlpm.v, _xlfn.XLOOKUP(_xlpm.v, ノード!B:B, ノード!A:A, ""))),"[" &amp; _xlfn.TEXTJOIN(",", TRUE, _xlpm.results) &amp; "]")</f>
        <v>[4]</v>
      </c>
      <c r="R10" s="10">
        <f>_xlfn.XLOOKUP(N10, 'バフ、デバフ'!B:B, 'バフ、デバフ'!A:A, "")</f>
        <v>6</v>
      </c>
      <c r="S10" s="10">
        <f>_xlfn.XLOOKUP(O10, 'バフ、デバフ'!B:B, 'バフ、デバフ'!A:A, "")</f>
        <v>1</v>
      </c>
    </row>
    <row r="11" spans="1:19" ht="36" x14ac:dyDescent="0.2">
      <c r="A11" s="10">
        <v>1</v>
      </c>
      <c r="B11" s="10">
        <v>3</v>
      </c>
      <c r="C11" s="10" t="s">
        <v>194</v>
      </c>
      <c r="D11" s="64" t="s">
        <v>236</v>
      </c>
      <c r="E11" s="10" t="s">
        <v>241</v>
      </c>
      <c r="F11" s="10" t="s">
        <v>227</v>
      </c>
      <c r="G11" s="10">
        <f ca="1">OFFSET(依頼主!$A$1,MATCH(F11,依頼主!B:B,0)-1,0)</f>
        <v>12</v>
      </c>
      <c r="H11" s="10" t="s">
        <v>127</v>
      </c>
      <c r="I11" s="10"/>
      <c r="J11" s="10"/>
      <c r="K11" s="10" t="s">
        <v>247</v>
      </c>
      <c r="L11" s="10">
        <v>2</v>
      </c>
      <c r="M11" s="10">
        <v>3</v>
      </c>
      <c r="N11" s="10" t="s">
        <v>189</v>
      </c>
      <c r="O11" s="10" t="s">
        <v>189</v>
      </c>
      <c r="P11" s="10">
        <f ca="1">OFFSET(依頼種別!$A$1, MATCH(K11,依頼種別!B:B,0)-1,0)</f>
        <v>4</v>
      </c>
      <c r="Q11" s="10" t="str" cm="1">
        <f t="array" ref="Q11">_xlfn.LET(_xlpm.search_vals, _xlfn.HSTACK(H11, I11, J11),_xlpm.results, _xlfn.BYCOL(_xlpm.search_vals, _xlfn.LAMBDA(_xlpm.v, _xlfn.XLOOKUP(_xlpm.v, ノード!B:B, ノード!A:A, ""))),"[" &amp; _xlfn.TEXTJOIN(",", TRUE, _xlpm.results) &amp; "]")</f>
        <v>[3]</v>
      </c>
      <c r="R11" s="10">
        <f>_xlfn.XLOOKUP(N11, 'バフ、デバフ'!B:B, 'バフ、デバフ'!A:A, "")</f>
        <v>1</v>
      </c>
      <c r="S11" s="10">
        <f>_xlfn.XLOOKUP(O11, 'バフ、デバフ'!B:B, 'バフ、デバフ'!A:A, "")</f>
        <v>1</v>
      </c>
    </row>
    <row r="12" spans="1:19" ht="36" x14ac:dyDescent="0.2">
      <c r="A12" s="10">
        <v>1</v>
      </c>
      <c r="B12" s="10">
        <v>3</v>
      </c>
      <c r="C12" s="10" t="s">
        <v>195</v>
      </c>
      <c r="D12" s="64" t="s">
        <v>237</v>
      </c>
      <c r="E12" s="10" t="s">
        <v>241</v>
      </c>
      <c r="F12" s="10" t="s">
        <v>234</v>
      </c>
      <c r="G12" s="10">
        <f ca="1">OFFSET(依頼主!$A$1,MATCH(F12,依頼主!B:B,0)-1,0)</f>
        <v>1</v>
      </c>
      <c r="H12" s="10" t="s">
        <v>125</v>
      </c>
      <c r="I12" s="10" t="s">
        <v>126</v>
      </c>
      <c r="J12" s="10"/>
      <c r="K12" s="10" t="s">
        <v>192</v>
      </c>
      <c r="L12" s="10">
        <v>10</v>
      </c>
      <c r="M12" s="10" t="s">
        <v>241</v>
      </c>
      <c r="N12" s="10" t="s">
        <v>189</v>
      </c>
      <c r="O12" s="10" t="s">
        <v>189</v>
      </c>
      <c r="P12" s="10">
        <f ca="1">OFFSET(依頼種別!$A$1, MATCH(K12,依頼種別!B:B,0)-1,0)</f>
        <v>9</v>
      </c>
      <c r="Q12" s="10" t="str" cm="1">
        <f t="array" ref="Q12">_xlfn.LET(_xlpm.search_vals, _xlfn.HSTACK(H12, I12, J12),_xlpm.results, _xlfn.BYCOL(_xlpm.search_vals, _xlfn.LAMBDA(_xlpm.v, _xlfn.XLOOKUP(_xlpm.v, ノード!B:B, ノード!A:A, ""))),"[" &amp; _xlfn.TEXTJOIN(",", TRUE, _xlpm.results) &amp; "]")</f>
        <v>[1,2]</v>
      </c>
      <c r="R12" s="10">
        <f>_xlfn.XLOOKUP(N12, 'バフ、デバフ'!B:B, 'バフ、デバフ'!A:A, "")</f>
        <v>1</v>
      </c>
      <c r="S12" s="10">
        <f>_xlfn.XLOOKUP(O12, 'バフ、デバフ'!B:B, 'バフ、デバフ'!A:A, "")</f>
        <v>1</v>
      </c>
    </row>
    <row r="13" spans="1:19" ht="48" x14ac:dyDescent="0.2">
      <c r="A13" s="10">
        <v>1</v>
      </c>
      <c r="B13" s="10">
        <v>4</v>
      </c>
      <c r="C13" s="10" t="s">
        <v>196</v>
      </c>
      <c r="D13" s="64" t="s">
        <v>238</v>
      </c>
      <c r="E13" s="10" t="s">
        <v>241</v>
      </c>
      <c r="F13" s="10" t="s">
        <v>228</v>
      </c>
      <c r="G13" s="10">
        <f ca="1">OFFSET(依頼主!$A$1,MATCH(F13,依頼主!B:B,0)-1,0)</f>
        <v>13</v>
      </c>
      <c r="H13" s="10" t="s">
        <v>131</v>
      </c>
      <c r="I13" s="10"/>
      <c r="J13" s="10"/>
      <c r="K13" s="10" t="s">
        <v>247</v>
      </c>
      <c r="L13" s="10">
        <v>3</v>
      </c>
      <c r="M13" s="10">
        <v>3</v>
      </c>
      <c r="N13" s="10" t="s">
        <v>189</v>
      </c>
      <c r="O13" s="10" t="s">
        <v>189</v>
      </c>
      <c r="P13" s="10">
        <f ca="1">OFFSET(依頼種別!$A$1, MATCH(K13,依頼種別!B:B,0)-1,0)</f>
        <v>4</v>
      </c>
      <c r="Q13" s="10" t="str" cm="1">
        <f t="array" ref="Q13">_xlfn.LET(_xlpm.search_vals, _xlfn.HSTACK(H13, I13, J13),_xlpm.results, _xlfn.BYCOL(_xlpm.search_vals, _xlfn.LAMBDA(_xlpm.v, _xlfn.XLOOKUP(_xlpm.v, ノード!B:B, ノード!A:A, ""))),"[" &amp; _xlfn.TEXTJOIN(",", TRUE, _xlpm.results) &amp; "]")</f>
        <v>[6]</v>
      </c>
      <c r="R13" s="10">
        <f>_xlfn.XLOOKUP(N13, 'バフ、デバフ'!B:B, 'バフ、デバフ'!A:A, "")</f>
        <v>1</v>
      </c>
      <c r="S13" s="10">
        <f>_xlfn.XLOOKUP(O13, 'バフ、デバフ'!B:B, 'バフ、デバフ'!A:A, "")</f>
        <v>1</v>
      </c>
    </row>
    <row r="14" spans="1:19" ht="36" x14ac:dyDescent="0.2">
      <c r="A14" s="10">
        <v>1</v>
      </c>
      <c r="B14" s="10">
        <v>4</v>
      </c>
      <c r="C14" s="10" t="s">
        <v>197</v>
      </c>
      <c r="D14" s="64" t="s">
        <v>239</v>
      </c>
      <c r="E14" s="10" t="s">
        <v>241</v>
      </c>
      <c r="F14" s="10" t="s">
        <v>227</v>
      </c>
      <c r="G14" s="10">
        <f ca="1">OFFSET(依頼主!$A$1,MATCH(F14,依頼主!B:B,0)-1,0)</f>
        <v>12</v>
      </c>
      <c r="H14" s="10" t="s">
        <v>127</v>
      </c>
      <c r="I14" s="10"/>
      <c r="J14" s="10"/>
      <c r="K14" s="10" t="s">
        <v>247</v>
      </c>
      <c r="L14" s="10">
        <v>1</v>
      </c>
      <c r="M14" s="10">
        <v>4</v>
      </c>
      <c r="N14" s="10" t="s">
        <v>189</v>
      </c>
      <c r="O14" s="10" t="s">
        <v>189</v>
      </c>
      <c r="P14" s="10">
        <f ca="1">OFFSET(依頼種別!$A$1, MATCH(K14,依頼種別!B:B,0)-1,0)</f>
        <v>4</v>
      </c>
      <c r="Q14" s="10" t="str" cm="1">
        <f t="array" ref="Q14">_xlfn.LET(_xlpm.search_vals, _xlfn.HSTACK(H14, I14, J14),_xlpm.results, _xlfn.BYCOL(_xlpm.search_vals, _xlfn.LAMBDA(_xlpm.v, _xlfn.XLOOKUP(_xlpm.v, ノード!B:B, ノード!A:A, ""))),"[" &amp; _xlfn.TEXTJOIN(",", TRUE, _xlpm.results) &amp; "]")</f>
        <v>[3]</v>
      </c>
      <c r="R14" s="10">
        <f>_xlfn.XLOOKUP(N14, 'バフ、デバフ'!B:B, 'バフ、デバフ'!A:A, "")</f>
        <v>1</v>
      </c>
      <c r="S14" s="10">
        <f>_xlfn.XLOOKUP(O14, 'バフ、デバフ'!B:B, 'バフ、デバフ'!A:A, "")</f>
        <v>1</v>
      </c>
    </row>
    <row r="15" spans="1:19" x14ac:dyDescent="0.2">
      <c r="A15" s="10">
        <v>1</v>
      </c>
      <c r="B15" s="10">
        <v>5</v>
      </c>
      <c r="C15" s="10" t="s">
        <v>198</v>
      </c>
      <c r="D15" s="64" t="s">
        <v>199</v>
      </c>
      <c r="E15" s="10" t="s">
        <v>241</v>
      </c>
      <c r="F15" s="10" t="s">
        <v>222</v>
      </c>
      <c r="G15" s="10">
        <f ca="1">OFFSET(依頼主!$A$1,MATCH(F15,依頼主!B:B,0)-1,0)</f>
        <v>7</v>
      </c>
      <c r="H15" s="10" t="s">
        <v>132</v>
      </c>
      <c r="I15" s="10"/>
      <c r="J15" s="10"/>
      <c r="K15" s="10" t="s">
        <v>247</v>
      </c>
      <c r="L15" s="10">
        <v>2</v>
      </c>
      <c r="M15" s="10">
        <v>2</v>
      </c>
      <c r="N15" s="10" t="s">
        <v>189</v>
      </c>
      <c r="O15" s="10" t="s">
        <v>189</v>
      </c>
      <c r="P15" s="10">
        <f ca="1">OFFSET(依頼種別!$A$1, MATCH(K15,依頼種別!B:B,0)-1,0)</f>
        <v>4</v>
      </c>
      <c r="Q15" s="10" t="str" cm="1">
        <f t="array" ref="Q15">_xlfn.LET(_xlpm.search_vals, _xlfn.HSTACK(H15, I15, J15),_xlpm.results, _xlfn.BYCOL(_xlpm.search_vals, _xlfn.LAMBDA(_xlpm.v, _xlfn.XLOOKUP(_xlpm.v, ノード!B:B, ノード!A:A, ""))),"[" &amp; _xlfn.TEXTJOIN(",", TRUE, _xlpm.results) &amp; "]")</f>
        <v>[7]</v>
      </c>
      <c r="R15" s="10">
        <f>_xlfn.XLOOKUP(N15, 'バフ、デバフ'!B:B, 'バフ、デバフ'!A:A, "")</f>
        <v>1</v>
      </c>
      <c r="S15" s="10">
        <f>_xlfn.XLOOKUP(O15, 'バフ、デバフ'!B:B, 'バフ、デバフ'!A:A, "")</f>
        <v>1</v>
      </c>
    </row>
    <row r="16" spans="1:19" ht="24" x14ac:dyDescent="0.2">
      <c r="A16" s="10">
        <v>1</v>
      </c>
      <c r="B16" s="10">
        <v>5</v>
      </c>
      <c r="C16" s="10" t="s">
        <v>200</v>
      </c>
      <c r="D16" s="64" t="s">
        <v>202</v>
      </c>
      <c r="E16" s="10" t="s">
        <v>241</v>
      </c>
      <c r="F16" s="10" t="s">
        <v>226</v>
      </c>
      <c r="G16" s="10">
        <f ca="1">OFFSET(依頼主!$A$1,MATCH(F16,依頼主!B:B,0)-1,0)</f>
        <v>11</v>
      </c>
      <c r="H16" s="10" t="s">
        <v>128</v>
      </c>
      <c r="I16" s="10"/>
      <c r="J16" s="10"/>
      <c r="K16" s="10" t="s">
        <v>182</v>
      </c>
      <c r="L16" s="10" t="s">
        <v>241</v>
      </c>
      <c r="M16" s="10">
        <v>5</v>
      </c>
      <c r="N16" s="10" t="s">
        <v>189</v>
      </c>
      <c r="O16" s="10" t="s">
        <v>189</v>
      </c>
      <c r="P16" s="10">
        <f ca="1">OFFSET(依頼種別!$A$1, MATCH(K16,依頼種別!B:B,0)-1,0)</f>
        <v>5</v>
      </c>
      <c r="Q16" s="10" t="str" cm="1">
        <f t="array" ref="Q16">_xlfn.LET(_xlpm.search_vals, _xlfn.HSTACK(H16, I16, J16),_xlpm.results, _xlfn.BYCOL(_xlpm.search_vals, _xlfn.LAMBDA(_xlpm.v, _xlfn.XLOOKUP(_xlpm.v, ノード!B:B, ノード!A:A, ""))),"[" &amp; _xlfn.TEXTJOIN(",", TRUE, _xlpm.results) &amp; "]")</f>
        <v>[4]</v>
      </c>
      <c r="R16" s="10">
        <f>_xlfn.XLOOKUP(N16, 'バフ、デバフ'!B:B, 'バフ、デバフ'!A:A, "")</f>
        <v>1</v>
      </c>
      <c r="S16" s="10">
        <f>_xlfn.XLOOKUP(O16, 'バフ、デバフ'!B:B, 'バフ、デバフ'!A:A, "")</f>
        <v>1</v>
      </c>
    </row>
    <row r="17" spans="1:19" x14ac:dyDescent="0.2">
      <c r="A17" s="10">
        <v>1</v>
      </c>
      <c r="B17" s="10">
        <v>6</v>
      </c>
      <c r="C17" s="10" t="s">
        <v>205</v>
      </c>
      <c r="D17" s="64" t="s">
        <v>208</v>
      </c>
      <c r="E17" s="10">
        <v>1</v>
      </c>
      <c r="F17" s="10" t="s">
        <v>227</v>
      </c>
      <c r="G17" s="10">
        <f ca="1">OFFSET(依頼主!$A$1,MATCH(F17,依頼主!B:B,0)-1,0)</f>
        <v>12</v>
      </c>
      <c r="H17" s="10" t="s">
        <v>127</v>
      </c>
      <c r="I17" s="10"/>
      <c r="J17" s="10"/>
      <c r="K17" s="10" t="s">
        <v>174</v>
      </c>
      <c r="L17" s="10" t="s">
        <v>241</v>
      </c>
      <c r="M17" s="10" t="s">
        <v>241</v>
      </c>
      <c r="N17" s="10" t="s">
        <v>189</v>
      </c>
      <c r="O17" s="10" t="s">
        <v>189</v>
      </c>
      <c r="P17" s="10">
        <f ca="1">OFFSET(依頼種別!$A$1, MATCH(K17,依頼種別!B:B,0)-1,0)</f>
        <v>1</v>
      </c>
      <c r="Q17" s="10" t="str" cm="1">
        <f t="array" ref="Q17">_xlfn.LET(_xlpm.search_vals, _xlfn.HSTACK(H17, I17, J17),_xlpm.results, _xlfn.BYCOL(_xlpm.search_vals, _xlfn.LAMBDA(_xlpm.v, _xlfn.XLOOKUP(_xlpm.v, ノード!B:B, ノード!A:A, ""))),"[" &amp; _xlfn.TEXTJOIN(",", TRUE, _xlpm.results) &amp; "]")</f>
        <v>[3]</v>
      </c>
      <c r="R17" s="10">
        <f>_xlfn.XLOOKUP(N17, 'バフ、デバフ'!B:B, 'バフ、デバフ'!A:A, "")</f>
        <v>1</v>
      </c>
      <c r="S17" s="10">
        <f>_xlfn.XLOOKUP(O17, 'バフ、デバフ'!B:B, 'バフ、デバフ'!A:A, "")</f>
        <v>1</v>
      </c>
    </row>
    <row r="18" spans="1:19" x14ac:dyDescent="0.2">
      <c r="A18" s="10">
        <v>1</v>
      </c>
      <c r="B18" s="10">
        <v>6</v>
      </c>
      <c r="C18" s="10" t="s">
        <v>206</v>
      </c>
      <c r="D18" s="64" t="s">
        <v>209</v>
      </c>
      <c r="E18" s="10">
        <v>1</v>
      </c>
      <c r="F18" s="10" t="s">
        <v>228</v>
      </c>
      <c r="G18" s="10">
        <f ca="1">OFFSET(依頼主!$A$1,MATCH(F18,依頼主!B:B,0)-1,0)</f>
        <v>13</v>
      </c>
      <c r="H18" s="10" t="s">
        <v>131</v>
      </c>
      <c r="I18" s="10"/>
      <c r="J18" s="10"/>
      <c r="K18" s="10" t="s">
        <v>174</v>
      </c>
      <c r="L18" s="10" t="s">
        <v>241</v>
      </c>
      <c r="M18" s="10" t="s">
        <v>241</v>
      </c>
      <c r="N18" s="10" t="s">
        <v>189</v>
      </c>
      <c r="O18" s="10" t="s">
        <v>189</v>
      </c>
      <c r="P18" s="10">
        <f ca="1">OFFSET(依頼種別!$A$1, MATCH(K18,依頼種別!B:B,0)-1,0)</f>
        <v>1</v>
      </c>
      <c r="Q18" s="10" t="str" cm="1">
        <f t="array" ref="Q18">_xlfn.LET(_xlpm.search_vals, _xlfn.HSTACK(H18, I18, J18),_xlpm.results, _xlfn.BYCOL(_xlpm.search_vals, _xlfn.LAMBDA(_xlpm.v, _xlfn.XLOOKUP(_xlpm.v, ノード!B:B, ノード!A:A, ""))),"[" &amp; _xlfn.TEXTJOIN(",", TRUE, _xlpm.results) &amp; "]")</f>
        <v>[6]</v>
      </c>
      <c r="R18" s="10">
        <f>_xlfn.XLOOKUP(N18, 'バフ、デバフ'!B:B, 'バフ、デバフ'!A:A, "")</f>
        <v>1</v>
      </c>
      <c r="S18" s="10">
        <f>_xlfn.XLOOKUP(O18, 'バフ、デバフ'!B:B, 'バフ、デバフ'!A:A, "")</f>
        <v>1</v>
      </c>
    </row>
    <row r="19" spans="1:19" x14ac:dyDescent="0.2">
      <c r="A19" s="10">
        <v>1</v>
      </c>
      <c r="B19" s="10">
        <v>6</v>
      </c>
      <c r="C19" s="10" t="s">
        <v>207</v>
      </c>
      <c r="D19" s="64" t="s">
        <v>210</v>
      </c>
      <c r="E19" s="10">
        <v>1</v>
      </c>
      <c r="F19" s="10" t="s">
        <v>229</v>
      </c>
      <c r="G19" s="10">
        <f ca="1">OFFSET(依頼主!$A$1,MATCH(F19,依頼主!B:B,0)-1,0)</f>
        <v>14</v>
      </c>
      <c r="H19" s="10" t="s">
        <v>132</v>
      </c>
      <c r="I19" s="10"/>
      <c r="J19" s="10"/>
      <c r="K19" s="10" t="s">
        <v>174</v>
      </c>
      <c r="L19" s="10" t="s">
        <v>241</v>
      </c>
      <c r="M19" s="10" t="s">
        <v>241</v>
      </c>
      <c r="N19" s="10" t="s">
        <v>189</v>
      </c>
      <c r="O19" s="10" t="s">
        <v>189</v>
      </c>
      <c r="P19" s="10">
        <f ca="1">OFFSET(依頼種別!$A$1, MATCH(K19,依頼種別!B:B,0)-1,0)</f>
        <v>1</v>
      </c>
      <c r="Q19" s="10" t="str" cm="1">
        <f t="array" ref="Q19">_xlfn.LET(_xlpm.search_vals, _xlfn.HSTACK(H19, I19, J19),_xlpm.results, _xlfn.BYCOL(_xlpm.search_vals, _xlfn.LAMBDA(_xlpm.v, _xlfn.XLOOKUP(_xlpm.v, ノード!B:B, ノード!A:A, ""))),"[" &amp; _xlfn.TEXTJOIN(",", TRUE, _xlpm.results) &amp; "]")</f>
        <v>[7]</v>
      </c>
      <c r="R19" s="10">
        <f>_xlfn.XLOOKUP(N19, 'バフ、デバフ'!B:B, 'バフ、デバフ'!A:A, "")</f>
        <v>1</v>
      </c>
      <c r="S19" s="10">
        <f>_xlfn.XLOOKUP(O19, 'バフ、デバフ'!B:B, 'バフ、デバフ'!A:A, "")</f>
        <v>1</v>
      </c>
    </row>
    <row r="20" spans="1:19" x14ac:dyDescent="0.2">
      <c r="A20" s="10">
        <v>1</v>
      </c>
      <c r="B20" s="10">
        <v>7</v>
      </c>
      <c r="C20" s="10" t="s">
        <v>211</v>
      </c>
      <c r="D20" s="64" t="s">
        <v>212</v>
      </c>
      <c r="E20" s="10" t="s">
        <v>241</v>
      </c>
      <c r="F20" s="10" t="s">
        <v>234</v>
      </c>
      <c r="G20" s="10">
        <f ca="1">OFFSET(依頼主!$A$1,MATCH(F20,依頼主!B:B,0)-1,0)</f>
        <v>1</v>
      </c>
      <c r="H20" s="10"/>
      <c r="I20" s="10"/>
      <c r="J20" s="10"/>
      <c r="K20" s="10" t="s">
        <v>213</v>
      </c>
      <c r="L20" s="10">
        <v>1000</v>
      </c>
      <c r="M20" s="10" t="s">
        <v>241</v>
      </c>
      <c r="N20" s="10" t="s">
        <v>189</v>
      </c>
      <c r="O20" s="10" t="s">
        <v>189</v>
      </c>
      <c r="P20" s="10">
        <f ca="1">OFFSET(依頼種別!$A$1, MATCH(K20,依頼種別!B:B,0)-1,0)</f>
        <v>10</v>
      </c>
      <c r="Q20" s="10" t="str" cm="1">
        <f t="array" ref="Q20">_xlfn.LET(_xlpm.search_vals, _xlfn.HSTACK(H20, I20, J20),_xlpm.results, _xlfn.BYCOL(_xlpm.search_vals, _xlfn.LAMBDA(_xlpm.v, _xlfn.XLOOKUP(_xlpm.v, ノード!B:B, ノード!A:A, ""))),"[" &amp; _xlfn.TEXTJOIN(",", TRUE, _xlpm.results) &amp; "]")</f>
        <v>[]</v>
      </c>
      <c r="R20" s="10">
        <f>_xlfn.XLOOKUP(N20, 'バフ、デバフ'!B:B, 'バフ、デバフ'!A:A, "")</f>
        <v>1</v>
      </c>
      <c r="S20" s="10">
        <f>_xlfn.XLOOKUP(O20, 'バフ、デバフ'!B:B, 'バフ、デバフ'!A:A, "")</f>
        <v>1</v>
      </c>
    </row>
    <row r="21" spans="1:19" x14ac:dyDescent="0.2">
      <c r="A21" s="9" t="s">
        <v>31</v>
      </c>
      <c r="B21" s="9"/>
      <c r="C21" s="9"/>
      <c r="D21" s="9"/>
      <c r="E21" s="9"/>
      <c r="F21" s="9"/>
      <c r="G21" s="9"/>
      <c r="H21" s="9"/>
      <c r="I21" s="9"/>
      <c r="J21" s="9"/>
      <c r="K21" s="9"/>
      <c r="L21" s="9"/>
      <c r="M21" s="9"/>
      <c r="N21" s="9"/>
      <c r="O21" s="9"/>
      <c r="P21" s="9"/>
      <c r="Q21" s="9"/>
      <c r="R21" s="9"/>
      <c r="S21" s="9"/>
    </row>
    <row r="27" spans="1:19" x14ac:dyDescent="0.2">
      <c r="A27" s="59" t="s">
        <v>122</v>
      </c>
    </row>
    <row r="28" spans="1:19" x14ac:dyDescent="0.2">
      <c r="A28" s="22" t="s">
        <v>168</v>
      </c>
    </row>
  </sheetData>
  <phoneticPr fontId="11"/>
  <pageMargins left="0.7" right="0.7" top="0.75" bottom="0.75" header="0.3" footer="0.3"/>
  <extLst>
    <ext xmlns:x14="http://schemas.microsoft.com/office/spreadsheetml/2009/9/main" uri="{CCE6A557-97BC-4b89-ADB6-D9C93CAAB3DF}">
      <x14:dataValidations xmlns:xm="http://schemas.microsoft.com/office/excel/2006/main" count="5">
        <x14:dataValidation type="list" allowBlank="1" showInputMessage="1" showErrorMessage="1" xr:uid="{22E7DCB9-2E60-4969-8F1D-619E3DD82374}">
          <x14:formula1>
            <xm:f>ノード!$B$6:$B$210</xm:f>
          </x14:formula1>
          <xm:sqref>H6:J20</xm:sqref>
        </x14:dataValidation>
        <x14:dataValidation type="list" allowBlank="1" showInputMessage="1" showErrorMessage="1" xr:uid="{233BA980-0AB0-4CB6-96EA-1945B8E714F1}">
          <x14:formula1>
            <xm:f>'バフ、デバフ'!$B$6:$B$14</xm:f>
          </x14:formula1>
          <xm:sqref>N6:Q20</xm:sqref>
        </x14:dataValidation>
        <x14:dataValidation type="list" allowBlank="1" showInputMessage="1" showErrorMessage="1" xr:uid="{6945462C-1F39-4635-84A6-3D812CB25242}">
          <x14:formula1>
            <xm:f>依頼種別!$B$6:$B$108</xm:f>
          </x14:formula1>
          <xm:sqref>H6:J20</xm:sqref>
        </x14:dataValidation>
        <x14:dataValidation type="list" allowBlank="1" showInputMessage="1" showErrorMessage="1" xr:uid="{61957A04-6F2E-4B5C-AF1E-4569D7B3FA83}">
          <x14:formula1>
            <xm:f>依頼種別!$B$6:$B$102</xm:f>
          </x14:formula1>
          <xm:sqref>K6:K20</xm:sqref>
        </x14:dataValidation>
        <x14:dataValidation type="list" allowBlank="1" showInputMessage="1" showErrorMessage="1" xr:uid="{2ED011E1-0D87-444A-9DA5-4CA7D6E96324}">
          <x14:formula1>
            <xm:f>依頼主!$B$6:$B$106</xm:f>
          </x14:formula1>
          <xm:sqref>F6:F20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2E852D-1148-4681-83BE-D967B3A0921B}">
  <sheetPr codeName="Sheet8">
    <tabColor theme="5" tint="0.39997558519241921"/>
  </sheetPr>
  <dimension ref="A1:C24"/>
  <sheetViews>
    <sheetView workbookViewId="0">
      <selection activeCell="F23" sqref="F23"/>
    </sheetView>
  </sheetViews>
  <sheetFormatPr defaultRowHeight="13" x14ac:dyDescent="0.2"/>
  <cols>
    <col min="2" max="2" width="24.1796875" bestFit="1" customWidth="1"/>
    <col min="3" max="3" width="37.90625" bestFit="1" customWidth="1"/>
  </cols>
  <sheetData>
    <row r="1" spans="1:3" x14ac:dyDescent="0.2">
      <c r="A1" s="22"/>
      <c r="B1" s="22"/>
      <c r="C1" s="22"/>
    </row>
    <row r="2" spans="1:3" x14ac:dyDescent="0.2">
      <c r="A2" s="22"/>
      <c r="B2" s="22"/>
      <c r="C2" s="22"/>
    </row>
    <row r="3" spans="1:3" x14ac:dyDescent="0.2">
      <c r="A3" s="9" t="s">
        <v>29</v>
      </c>
      <c r="B3" s="9"/>
      <c r="C3" s="9"/>
    </row>
    <row r="4" spans="1:3" x14ac:dyDescent="0.2">
      <c r="A4" s="11" t="s">
        <v>30</v>
      </c>
      <c r="B4" s="60" t="s">
        <v>35</v>
      </c>
      <c r="C4" s="11" t="s">
        <v>72</v>
      </c>
    </row>
    <row r="5" spans="1:3" x14ac:dyDescent="0.2">
      <c r="A5" s="12" t="s">
        <v>51</v>
      </c>
      <c r="B5" s="12"/>
      <c r="C5" s="12" t="s">
        <v>71</v>
      </c>
    </row>
    <row r="6" spans="1:3" x14ac:dyDescent="0.2">
      <c r="A6" s="10">
        <v>1</v>
      </c>
      <c r="B6" s="10" t="s">
        <v>174</v>
      </c>
      <c r="C6" s="10" t="s">
        <v>183</v>
      </c>
    </row>
    <row r="7" spans="1:3" x14ac:dyDescent="0.2">
      <c r="A7" s="10">
        <v>2</v>
      </c>
      <c r="B7" s="10" t="s">
        <v>175</v>
      </c>
      <c r="C7" s="10" t="s">
        <v>178</v>
      </c>
    </row>
    <row r="8" spans="1:3" x14ac:dyDescent="0.2">
      <c r="A8" s="10">
        <v>3</v>
      </c>
      <c r="B8" s="10" t="s">
        <v>176</v>
      </c>
      <c r="C8" s="10" t="s">
        <v>177</v>
      </c>
    </row>
    <row r="9" spans="1:3" x14ac:dyDescent="0.2">
      <c r="A9" s="10">
        <v>4</v>
      </c>
      <c r="B9" s="10" t="s">
        <v>247</v>
      </c>
      <c r="C9" s="10" t="s">
        <v>179</v>
      </c>
    </row>
    <row r="10" spans="1:3" x14ac:dyDescent="0.2">
      <c r="A10" s="10">
        <v>5</v>
      </c>
      <c r="B10" s="10" t="s">
        <v>182</v>
      </c>
      <c r="C10" s="10" t="s">
        <v>180</v>
      </c>
    </row>
    <row r="11" spans="1:3" x14ac:dyDescent="0.2">
      <c r="A11" s="10">
        <v>6</v>
      </c>
      <c r="B11" s="10" t="s">
        <v>181</v>
      </c>
      <c r="C11" s="10" t="s">
        <v>180</v>
      </c>
    </row>
    <row r="12" spans="1:3" x14ac:dyDescent="0.2">
      <c r="A12" s="10">
        <v>7</v>
      </c>
      <c r="B12" s="10" t="s">
        <v>185</v>
      </c>
      <c r="C12" s="10" t="s">
        <v>187</v>
      </c>
    </row>
    <row r="13" spans="1:3" x14ac:dyDescent="0.2">
      <c r="A13" s="10">
        <v>8</v>
      </c>
      <c r="B13" s="10" t="s">
        <v>184</v>
      </c>
      <c r="C13" s="10" t="s">
        <v>186</v>
      </c>
    </row>
    <row r="14" spans="1:3" x14ac:dyDescent="0.2">
      <c r="A14" s="10">
        <v>9</v>
      </c>
      <c r="B14" s="10" t="s">
        <v>192</v>
      </c>
      <c r="C14" s="10" t="s">
        <v>193</v>
      </c>
    </row>
    <row r="15" spans="1:3" x14ac:dyDescent="0.2">
      <c r="A15" s="10">
        <v>10</v>
      </c>
      <c r="B15" s="10" t="s">
        <v>213</v>
      </c>
      <c r="C15" s="10" t="s">
        <v>214</v>
      </c>
    </row>
    <row r="16" spans="1:3" x14ac:dyDescent="0.2">
      <c r="A16" s="9" t="s">
        <v>31</v>
      </c>
      <c r="B16" s="9"/>
      <c r="C16" s="9"/>
    </row>
    <row r="17" spans="1:3" x14ac:dyDescent="0.2">
      <c r="A17" s="22"/>
      <c r="B17" s="22"/>
      <c r="C17" s="22"/>
    </row>
    <row r="18" spans="1:3" x14ac:dyDescent="0.2">
      <c r="A18" s="22"/>
      <c r="B18" s="22"/>
      <c r="C18" s="22"/>
    </row>
    <row r="19" spans="1:3" x14ac:dyDescent="0.2">
      <c r="A19" s="22"/>
      <c r="B19" s="22"/>
      <c r="C19" s="22"/>
    </row>
    <row r="20" spans="1:3" x14ac:dyDescent="0.2">
      <c r="A20" s="59" t="s">
        <v>122</v>
      </c>
      <c r="B20" s="22"/>
      <c r="C20" s="22"/>
    </row>
    <row r="21" spans="1:3" x14ac:dyDescent="0.2">
      <c r="A21" s="22" t="s">
        <v>286</v>
      </c>
      <c r="B21" s="22"/>
      <c r="C21" s="22"/>
    </row>
    <row r="22" spans="1:3" x14ac:dyDescent="0.2">
      <c r="A22" s="22"/>
      <c r="B22" s="22"/>
      <c r="C22" s="22"/>
    </row>
    <row r="23" spans="1:3" x14ac:dyDescent="0.2">
      <c r="A23" s="22"/>
      <c r="B23" s="22"/>
      <c r="C23" s="22"/>
    </row>
    <row r="24" spans="1:3" x14ac:dyDescent="0.2">
      <c r="A24" s="22"/>
      <c r="B24" s="22"/>
      <c r="C24" s="22"/>
    </row>
  </sheetData>
  <phoneticPr fontId="1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9F19E-69D2-446D-89BA-AA3586B40A6D}">
  <sheetPr codeName="Sheet10">
    <tabColor theme="5" tint="0.39997558519241921"/>
  </sheetPr>
  <dimension ref="A3:B28"/>
  <sheetViews>
    <sheetView workbookViewId="0">
      <selection activeCell="A28" sqref="A28"/>
    </sheetView>
  </sheetViews>
  <sheetFormatPr defaultRowHeight="13" x14ac:dyDescent="0.2"/>
  <cols>
    <col min="1" max="1" width="10.90625" style="22" customWidth="1"/>
    <col min="2" max="2" width="21.90625" style="22" bestFit="1" customWidth="1"/>
  </cols>
  <sheetData>
    <row r="3" spans="1:2" x14ac:dyDescent="0.2">
      <c r="A3" s="9" t="s">
        <v>29</v>
      </c>
      <c r="B3" s="9"/>
    </row>
    <row r="4" spans="1:2" x14ac:dyDescent="0.2">
      <c r="A4" s="11" t="s">
        <v>30</v>
      </c>
      <c r="B4" s="11" t="s">
        <v>35</v>
      </c>
    </row>
    <row r="5" spans="1:2" x14ac:dyDescent="0.2">
      <c r="A5" s="12" t="s">
        <v>51</v>
      </c>
      <c r="B5" s="12" t="s">
        <v>52</v>
      </c>
    </row>
    <row r="6" spans="1:2" x14ac:dyDescent="0.2">
      <c r="A6" s="10">
        <v>1</v>
      </c>
      <c r="B6" s="10" t="s">
        <v>235</v>
      </c>
    </row>
    <row r="7" spans="1:2" x14ac:dyDescent="0.2">
      <c r="A7" s="10">
        <v>2</v>
      </c>
      <c r="B7" s="10" t="s">
        <v>217</v>
      </c>
    </row>
    <row r="8" spans="1:2" x14ac:dyDescent="0.2">
      <c r="A8" s="10">
        <v>3</v>
      </c>
      <c r="B8" s="10" t="s">
        <v>218</v>
      </c>
    </row>
    <row r="9" spans="1:2" x14ac:dyDescent="0.2">
      <c r="A9" s="10">
        <v>4</v>
      </c>
      <c r="B9" s="10" t="s">
        <v>219</v>
      </c>
    </row>
    <row r="10" spans="1:2" x14ac:dyDescent="0.2">
      <c r="A10" s="10">
        <v>5</v>
      </c>
      <c r="B10" s="10" t="s">
        <v>220</v>
      </c>
    </row>
    <row r="11" spans="1:2" x14ac:dyDescent="0.2">
      <c r="A11" s="10">
        <v>6</v>
      </c>
      <c r="B11" s="10" t="s">
        <v>221</v>
      </c>
    </row>
    <row r="12" spans="1:2" x14ac:dyDescent="0.2">
      <c r="A12" s="10">
        <v>7</v>
      </c>
      <c r="B12" s="10" t="s">
        <v>222</v>
      </c>
    </row>
    <row r="13" spans="1:2" x14ac:dyDescent="0.2">
      <c r="A13" s="10">
        <v>8</v>
      </c>
      <c r="B13" s="10" t="s">
        <v>223</v>
      </c>
    </row>
    <row r="14" spans="1:2" x14ac:dyDescent="0.2">
      <c r="A14" s="10">
        <v>9</v>
      </c>
      <c r="B14" s="10" t="s">
        <v>224</v>
      </c>
    </row>
    <row r="15" spans="1:2" x14ac:dyDescent="0.2">
      <c r="A15" s="10">
        <v>10</v>
      </c>
      <c r="B15" s="10" t="s">
        <v>225</v>
      </c>
    </row>
    <row r="16" spans="1:2" x14ac:dyDescent="0.2">
      <c r="A16" s="10">
        <v>11</v>
      </c>
      <c r="B16" s="10" t="s">
        <v>226</v>
      </c>
    </row>
    <row r="17" spans="1:2" x14ac:dyDescent="0.2">
      <c r="A17" s="10">
        <v>12</v>
      </c>
      <c r="B17" s="10" t="s">
        <v>227</v>
      </c>
    </row>
    <row r="18" spans="1:2" x14ac:dyDescent="0.2">
      <c r="A18" s="10">
        <v>13</v>
      </c>
      <c r="B18" s="10" t="s">
        <v>228</v>
      </c>
    </row>
    <row r="19" spans="1:2" x14ac:dyDescent="0.2">
      <c r="A19" s="10">
        <v>14</v>
      </c>
      <c r="B19" s="10" t="s">
        <v>229</v>
      </c>
    </row>
    <row r="20" spans="1:2" x14ac:dyDescent="0.2">
      <c r="A20" s="10">
        <v>15</v>
      </c>
      <c r="B20" s="10" t="s">
        <v>230</v>
      </c>
    </row>
    <row r="21" spans="1:2" x14ac:dyDescent="0.2">
      <c r="A21" s="10">
        <v>16</v>
      </c>
      <c r="B21" s="10"/>
    </row>
    <row r="22" spans="1:2" x14ac:dyDescent="0.2">
      <c r="A22" s="9" t="s">
        <v>31</v>
      </c>
      <c r="B22" s="9"/>
    </row>
    <row r="27" spans="1:2" x14ac:dyDescent="0.2">
      <c r="A27" s="59" t="s">
        <v>122</v>
      </c>
    </row>
    <row r="28" spans="1:2" x14ac:dyDescent="0.2">
      <c r="A28" s="22" t="s">
        <v>286</v>
      </c>
    </row>
  </sheetData>
  <phoneticPr fontId="1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D6781-CE14-4647-964A-BBCC15A9FCDD}">
  <sheetPr codeName="Sheet2">
    <tabColor rgb="FF00E266"/>
  </sheetPr>
  <dimension ref="A3:M21"/>
  <sheetViews>
    <sheetView workbookViewId="0">
      <selection activeCell="M8" sqref="M8"/>
    </sheetView>
  </sheetViews>
  <sheetFormatPr defaultRowHeight="13" x14ac:dyDescent="0.2"/>
  <cols>
    <col min="1" max="1" width="7.81640625" style="22" bestFit="1" customWidth="1"/>
    <col min="2" max="2" width="22.1796875" style="22" bestFit="1" customWidth="1"/>
    <col min="3" max="3" width="12.7265625" style="22" customWidth="1"/>
    <col min="4" max="4" width="5.7265625" style="22" customWidth="1"/>
    <col min="5" max="6" width="9.90625" style="22" customWidth="1"/>
    <col min="7" max="9" width="18.453125" style="22" customWidth="1"/>
    <col min="10" max="10" width="10.1796875" style="22" customWidth="1"/>
    <col min="11" max="11" width="8.453125" style="22" customWidth="1"/>
    <col min="13" max="13" width="45.7265625" style="22" bestFit="1" customWidth="1"/>
  </cols>
  <sheetData>
    <row r="3" spans="1:13" x14ac:dyDescent="0.2">
      <c r="A3" s="9" t="s">
        <v>29</v>
      </c>
      <c r="B3" s="9"/>
      <c r="C3" s="9"/>
      <c r="D3" s="9"/>
      <c r="E3" s="9"/>
      <c r="F3" s="9"/>
      <c r="G3" s="9"/>
      <c r="H3" s="9"/>
      <c r="I3" s="9"/>
      <c r="J3" s="9"/>
      <c r="K3" s="9"/>
      <c r="L3" s="9"/>
      <c r="M3" s="9"/>
    </row>
    <row r="4" spans="1:13" x14ac:dyDescent="0.2">
      <c r="A4" s="11" t="s">
        <v>30</v>
      </c>
      <c r="B4" s="11" t="s">
        <v>35</v>
      </c>
      <c r="C4" s="33" t="s">
        <v>245</v>
      </c>
      <c r="D4" s="67" t="s">
        <v>246</v>
      </c>
      <c r="E4" s="11" t="s">
        <v>302</v>
      </c>
      <c r="F4" s="11" t="s">
        <v>299</v>
      </c>
      <c r="G4" s="33" t="s">
        <v>300</v>
      </c>
      <c r="H4" s="33" t="s">
        <v>73</v>
      </c>
      <c r="I4" s="33" t="s">
        <v>73</v>
      </c>
      <c r="J4" s="33" t="s">
        <v>301</v>
      </c>
      <c r="K4" s="67" t="s">
        <v>73</v>
      </c>
      <c r="L4" s="67" t="s">
        <v>85</v>
      </c>
      <c r="M4" s="69" t="s">
        <v>72</v>
      </c>
    </row>
    <row r="5" spans="1:13" x14ac:dyDescent="0.2">
      <c r="A5" s="12" t="s">
        <v>51</v>
      </c>
      <c r="B5" s="12" t="s">
        <v>58</v>
      </c>
      <c r="C5" s="12"/>
      <c r="D5" s="12" t="s">
        <v>70</v>
      </c>
      <c r="E5" s="12" t="s">
        <v>95</v>
      </c>
      <c r="F5" s="12" t="s">
        <v>284</v>
      </c>
      <c r="G5" s="12"/>
      <c r="H5" s="12"/>
      <c r="I5" s="12"/>
      <c r="J5" s="12"/>
      <c r="K5" s="12" t="s">
        <v>88</v>
      </c>
      <c r="L5" s="12" t="s">
        <v>89</v>
      </c>
      <c r="M5" s="12"/>
    </row>
    <row r="6" spans="1:13" x14ac:dyDescent="0.2">
      <c r="A6" s="10">
        <v>1</v>
      </c>
      <c r="B6" s="10" t="s">
        <v>62</v>
      </c>
      <c r="C6" s="10" t="s">
        <v>248</v>
      </c>
      <c r="D6" s="10">
        <f ca="1">OFFSET('バフ、デバフ種別'!$A$1,MATCH($C6,'バフ、デバフ種別'!B:B,0)-1,0)</f>
        <v>1</v>
      </c>
      <c r="E6" s="10" t="s">
        <v>241</v>
      </c>
      <c r="F6" s="10" t="s">
        <v>94</v>
      </c>
      <c r="G6" s="10"/>
      <c r="H6" s="10"/>
      <c r="I6" s="10"/>
      <c r="J6" s="10"/>
      <c r="K6" s="10" t="str" cm="1">
        <f t="array" ref="K6">_xlfn.LET(_xlpm.search_vals, _xlfn.HSTACK($G6, $H6, $I6),_xlpm.results, _xlfn.BYCOL(_xlpm.search_vals, _xlfn.LAMBDA(_xlpm.v, _xlfn.XLOOKUP(_xlpm.v, ノード!B:B, ノード!A:A, ""))),"[" &amp; _xlfn.TEXTJOIN(",", TRUE, _xlpm.results) &amp; "]")</f>
        <v>[]</v>
      </c>
      <c r="L6" s="10" t="str" cm="1">
        <f t="array" ref="L6">_xlfn.LET(_xlpm.search_vals, _xlfn.HSTACK($J6),_xlpm.results, _xlfn.BYCOL(_xlpm.search_vals, _xlfn.LAMBDA(_xlpm.v, _xlfn.XLOOKUP(_xlpm.v, 素材!B:B, 素材!A:A, ""))),"[" &amp; _xlfn.TEXTJOIN(",", TRUE, _xlpm.results) &amp; "]")</f>
        <v>[]</v>
      </c>
      <c r="M6" s="10" t="str">
        <f t="shared" ref="M6:M14" si="0">SUBSTITUTE(SUBSTITUTE(SUBSTITUTE(C6,"{0}",G6),"{1}",E6),"{2}",J6)</f>
        <v>-</v>
      </c>
    </row>
    <row r="7" spans="1:13" x14ac:dyDescent="0.2">
      <c r="A7" s="10">
        <v>2</v>
      </c>
      <c r="B7" s="10" t="s">
        <v>258</v>
      </c>
      <c r="C7" s="10" t="s">
        <v>277</v>
      </c>
      <c r="D7" s="10">
        <f ca="1">OFFSET('バフ、デバフ種別'!$A$1,MATCH($C7,'バフ、デバフ種別'!B:B,0)-1,0)</f>
        <v>8</v>
      </c>
      <c r="E7" s="10">
        <v>5</v>
      </c>
      <c r="F7" s="10" t="s">
        <v>285</v>
      </c>
      <c r="G7" s="10" t="s">
        <v>257</v>
      </c>
      <c r="H7" s="10"/>
      <c r="I7" s="10"/>
      <c r="J7" s="10" t="s">
        <v>68</v>
      </c>
      <c r="K7" s="10" t="str" cm="1">
        <f t="array" ref="K7">_xlfn.LET(_xlpm.search_vals, _xlfn.HSTACK(G7, H7, I7),_xlpm.results, _xlfn.BYCOL(_xlpm.search_vals, _xlfn.LAMBDA(_xlpm.v, _xlfn.XLOOKUP(_xlpm.v, ノード!B:B, ノード!A:A, ""))),"[" &amp; _xlfn.TEXTJOIN(",", TRUE, _xlpm.results) &amp; "]")</f>
        <v>[9]</v>
      </c>
      <c r="L7" s="10" t="str" cm="1">
        <f t="array" ref="L7">_xlfn.LET(_xlpm.search_vals, _xlfn.HSTACK(J7),_xlpm.results, _xlfn.BYCOL(_xlpm.search_vals, _xlfn.LAMBDA(_xlpm.v, _xlfn.XLOOKUP(_xlpm.v, 素材!B:B, 素材!A:A, ""))),"[" &amp; _xlfn.TEXTJOIN(",", TRUE, _xlpm.results) &amp; "]")</f>
        <v>[0]</v>
      </c>
      <c r="M7" s="10" t="str">
        <f t="shared" si="0"/>
        <v>5回の出力でノードが除去される</v>
      </c>
    </row>
    <row r="8" spans="1:13" x14ac:dyDescent="0.2">
      <c r="A8" s="10">
        <v>3</v>
      </c>
      <c r="B8" s="10" t="s">
        <v>268</v>
      </c>
      <c r="C8" s="10" t="s">
        <v>289</v>
      </c>
      <c r="D8" s="10">
        <f ca="1">OFFSET('バフ、デバフ種別'!$A$1,MATCH($C8,'バフ、デバフ種別'!B:B,0)-1,0)</f>
        <v>9</v>
      </c>
      <c r="E8" s="10" t="s">
        <v>285</v>
      </c>
      <c r="F8" s="10" t="s">
        <v>285</v>
      </c>
      <c r="G8" s="10" t="s">
        <v>128</v>
      </c>
      <c r="H8" s="10"/>
      <c r="I8" s="10"/>
      <c r="J8" s="10" t="s">
        <v>68</v>
      </c>
      <c r="K8" s="10" t="str" cm="1">
        <f t="array" ref="K8">_xlfn.LET(_xlpm.search_vals, _xlfn.HSTACK(G8, H8, I8),_xlpm.results, _xlfn.BYCOL(_xlpm.search_vals, _xlfn.LAMBDA(_xlpm.v, _xlfn.XLOOKUP(_xlpm.v, ノード!B:B, ノード!A:A, ""))),"[" &amp; _xlfn.TEXTJOIN(",", TRUE, _xlpm.results) &amp; "]")</f>
        <v>[4]</v>
      </c>
      <c r="L8" s="10" t="str" cm="1">
        <f t="array" ref="L8">_xlfn.LET(_xlpm.search_vals, _xlfn.HSTACK(J8),_xlpm.results, _xlfn.BYCOL(_xlpm.search_vals, _xlfn.LAMBDA(_xlpm.v, _xlfn.XLOOKUP(_xlpm.v, 素材!B:B, 素材!A:A, ""))),"[" &amp; _xlfn.TEXTJOIN(",", TRUE, _xlpm.results) &amp; "]")</f>
        <v>[0]</v>
      </c>
      <c r="M8" s="10" t="str">
        <f t="shared" si="0"/>
        <v>居住モジュールを作成できるようになります。</v>
      </c>
    </row>
    <row r="9" spans="1:13" x14ac:dyDescent="0.2">
      <c r="A9" s="10">
        <v>4</v>
      </c>
      <c r="B9" s="10" t="s">
        <v>269</v>
      </c>
      <c r="C9" s="10" t="s">
        <v>289</v>
      </c>
      <c r="D9" s="10">
        <f ca="1">OFFSET('バフ、デバフ種別'!$A$1,MATCH($C9,'バフ、デバフ種別'!B:B,0)-1,0)</f>
        <v>9</v>
      </c>
      <c r="E9" s="10" t="s">
        <v>285</v>
      </c>
      <c r="F9" s="10" t="s">
        <v>285</v>
      </c>
      <c r="G9" s="10" t="s">
        <v>131</v>
      </c>
      <c r="H9" s="10"/>
      <c r="I9" s="10"/>
      <c r="J9" s="10" t="s">
        <v>68</v>
      </c>
      <c r="K9" s="10" t="str" cm="1">
        <f t="array" ref="K9">_xlfn.LET(_xlpm.search_vals, _xlfn.HSTACK(G9, H9, I9),_xlpm.results, _xlfn.BYCOL(_xlpm.search_vals, _xlfn.LAMBDA(_xlpm.v, _xlfn.XLOOKUP(_xlpm.v, ノード!B:B, ノード!A:A, ""))),"[" &amp; _xlfn.TEXTJOIN(",", TRUE, _xlpm.results) &amp; "]")</f>
        <v>[6]</v>
      </c>
      <c r="L9" s="10" t="str" cm="1">
        <f t="array" ref="L9">_xlfn.LET(_xlpm.search_vals, _xlfn.HSTACK(J9),_xlpm.results, _xlfn.BYCOL(_xlpm.search_vals, _xlfn.LAMBDA(_xlpm.v, _xlfn.XLOOKUP(_xlpm.v, 素材!B:B, 素材!A:A, ""))),"[" &amp; _xlfn.TEXTJOIN(",", TRUE, _xlpm.results) &amp; "]")</f>
        <v>[0]</v>
      </c>
      <c r="M9" s="10" t="str">
        <f t="shared" si="0"/>
        <v>工場モジュールを作成できるようになります。</v>
      </c>
    </row>
    <row r="10" spans="1:13" x14ac:dyDescent="0.2">
      <c r="A10" s="10">
        <v>5</v>
      </c>
      <c r="B10" s="10" t="s">
        <v>270</v>
      </c>
      <c r="C10" s="10" t="s">
        <v>289</v>
      </c>
      <c r="D10" s="10">
        <f ca="1">OFFSET('バフ、デバフ種別'!$A$1,MATCH($C10,'バフ、デバフ種別'!B:B,0)-1,0)</f>
        <v>9</v>
      </c>
      <c r="E10" s="10" t="s">
        <v>285</v>
      </c>
      <c r="F10" s="10" t="s">
        <v>285</v>
      </c>
      <c r="G10" s="10" t="s">
        <v>132</v>
      </c>
      <c r="H10" s="10"/>
      <c r="I10" s="10"/>
      <c r="J10" s="10" t="s">
        <v>68</v>
      </c>
      <c r="K10" s="10" t="str" cm="1">
        <f t="array" ref="K10">_xlfn.LET(_xlpm.search_vals, _xlfn.HSTACK(G10, H10, I10),_xlpm.results, _xlfn.BYCOL(_xlpm.search_vals, _xlfn.LAMBDA(_xlpm.v, _xlfn.XLOOKUP(_xlpm.v, ノード!B:B, ノード!A:A, ""))),"[" &amp; _xlfn.TEXTJOIN(",", TRUE, _xlpm.results) &amp; "]")</f>
        <v>[7]</v>
      </c>
      <c r="L10" s="10" t="str" cm="1">
        <f t="array" ref="L10">_xlfn.LET(_xlpm.search_vals, _xlfn.HSTACK(J10),_xlpm.results, _xlfn.BYCOL(_xlpm.search_vals, _xlfn.LAMBDA(_xlpm.v, _xlfn.XLOOKUP(_xlpm.v, 素材!B:B, 素材!A:A, ""))),"[" &amp; _xlfn.TEXTJOIN(",", TRUE, _xlpm.results) &amp; "]")</f>
        <v>[0]</v>
      </c>
      <c r="M10" s="10" t="str">
        <f t="shared" si="0"/>
        <v>商業モジュールを作成できるようになります。</v>
      </c>
    </row>
    <row r="11" spans="1:13" x14ac:dyDescent="0.2">
      <c r="A11" s="10">
        <v>6</v>
      </c>
      <c r="B11" s="10" t="s">
        <v>272</v>
      </c>
      <c r="C11" s="10" t="s">
        <v>289</v>
      </c>
      <c r="D11" s="10">
        <f ca="1">OFFSET('バフ、デバフ種別'!$A$1,MATCH($C11,'バフ、デバフ種別'!B:B,0)-1,0)</f>
        <v>9</v>
      </c>
      <c r="E11" s="10" t="s">
        <v>285</v>
      </c>
      <c r="F11" s="10" t="s">
        <v>285</v>
      </c>
      <c r="G11" s="10" t="s">
        <v>267</v>
      </c>
      <c r="H11" s="10"/>
      <c r="I11" s="10"/>
      <c r="J11" s="10" t="s">
        <v>68</v>
      </c>
      <c r="K11" s="10" t="str" cm="1">
        <f t="array" ref="K11">_xlfn.LET(_xlpm.search_vals, _xlfn.HSTACK(G11, H11, I11),_xlpm.results, _xlfn.BYCOL(_xlpm.search_vals, _xlfn.LAMBDA(_xlpm.v, _xlfn.XLOOKUP(_xlpm.v, ノード!B:B, ノード!A:A, ""))),"[" &amp; _xlfn.TEXTJOIN(",", TRUE, _xlpm.results) &amp; "]")</f>
        <v>[10]</v>
      </c>
      <c r="L11" s="10" t="str" cm="1">
        <f t="array" ref="L11">_xlfn.LET(_xlpm.search_vals, _xlfn.HSTACK(J11),_xlpm.results, _xlfn.BYCOL(_xlpm.search_vals, _xlfn.LAMBDA(_xlpm.v, _xlfn.XLOOKUP(_xlpm.v, 素材!B:B, 素材!A:A, ""))),"[" &amp; _xlfn.TEXTJOIN(",", TRUE, _xlpm.results) &amp; "]")</f>
        <v>[0]</v>
      </c>
      <c r="M11" s="10" t="str">
        <f t="shared" si="0"/>
        <v>食品加工モジュールを作成できるようになります。</v>
      </c>
    </row>
    <row r="12" spans="1:13" x14ac:dyDescent="0.2">
      <c r="A12" s="10">
        <v>7</v>
      </c>
      <c r="B12" s="10" t="s">
        <v>273</v>
      </c>
      <c r="C12" s="10" t="s">
        <v>289</v>
      </c>
      <c r="D12" s="10">
        <f ca="1">OFFSET('バフ、デバフ種別'!$A$1,MATCH($C12,'バフ、デバフ種別'!B:B,0)-1,0)</f>
        <v>9</v>
      </c>
      <c r="E12" s="10" t="s">
        <v>94</v>
      </c>
      <c r="F12" s="10" t="s">
        <v>94</v>
      </c>
      <c r="G12" s="10" t="s">
        <v>127</v>
      </c>
      <c r="H12" s="10"/>
      <c r="I12" s="10"/>
      <c r="J12" s="10" t="s">
        <v>68</v>
      </c>
      <c r="K12" s="10" t="str" cm="1">
        <f t="array" ref="K12">_xlfn.LET(_xlpm.search_vals, _xlfn.HSTACK(G12, H12, I12),_xlpm.results, _xlfn.BYCOL(_xlpm.search_vals, _xlfn.LAMBDA(_xlpm.v, _xlfn.XLOOKUP(_xlpm.v, ノード!B:B, ノード!A:A, ""))),"[" &amp; _xlfn.TEXTJOIN(",", TRUE, _xlpm.results) &amp; "]")</f>
        <v>[3]</v>
      </c>
      <c r="L12" s="10" t="str" cm="1">
        <f t="array" ref="L12">_xlfn.LET(_xlpm.search_vals, _xlfn.HSTACK(J12),_xlpm.results, _xlfn.BYCOL(_xlpm.search_vals, _xlfn.LAMBDA(_xlpm.v, _xlfn.XLOOKUP(_xlpm.v, 素材!B:B, 素材!A:A, ""))),"[" &amp; _xlfn.TEXTJOIN(",", TRUE, _xlpm.results) &amp; "]")</f>
        <v>[0]</v>
      </c>
      <c r="M12" s="10" t="str">
        <f t="shared" si="0"/>
        <v>農業モジュールを作成できるようになります。</v>
      </c>
    </row>
    <row r="13" spans="1:13" x14ac:dyDescent="0.2">
      <c r="A13" s="10">
        <v>8</v>
      </c>
      <c r="B13" s="10" t="s">
        <v>298</v>
      </c>
      <c r="C13" s="10" t="s">
        <v>252</v>
      </c>
      <c r="D13" s="10">
        <f ca="1">OFFSET('バフ、デバフ種別'!$A$1,MATCH($C13,'バフ、デバフ種別'!B:B,0)-1,0)</f>
        <v>5</v>
      </c>
      <c r="E13" s="10">
        <v>100</v>
      </c>
      <c r="F13" s="10">
        <v>10</v>
      </c>
      <c r="G13" s="10" t="s">
        <v>128</v>
      </c>
      <c r="H13" s="10" t="s">
        <v>125</v>
      </c>
      <c r="I13" s="10" t="s">
        <v>126</v>
      </c>
      <c r="J13" s="10" t="s">
        <v>68</v>
      </c>
      <c r="K13" s="10" t="str" cm="1">
        <f t="array" ref="K13">_xlfn.LET(_xlpm.search_vals, _xlfn.HSTACK(G13, H13, I13),_xlpm.results, _xlfn.BYCOL(_xlpm.search_vals, _xlfn.LAMBDA(_xlpm.v, _xlfn.XLOOKUP(_xlpm.v, ノード!B:B, ノード!A:A, ""))),"[" &amp; _xlfn.TEXTJOIN(",", TRUE, _xlpm.results) &amp; "]")</f>
        <v>[4,1,2]</v>
      </c>
      <c r="L13" s="10" t="str" cm="1">
        <f t="array" ref="L13">_xlfn.LET(_xlpm.search_vals, _xlfn.HSTACK(J13),_xlpm.results, _xlfn.BYCOL(_xlpm.search_vals, _xlfn.LAMBDA(_xlpm.v, _xlfn.XLOOKUP(_xlpm.v, 素材!B:B, 素材!A:A, ""))),"[" &amp; _xlfn.TEXTJOIN(",", TRUE, _xlpm.results) &amp; "]")</f>
        <v>[0]</v>
      </c>
      <c r="M13" s="10" t="str">
        <f t="shared" si="0"/>
        <v>居住モジュールの出力が永久に+100％</v>
      </c>
    </row>
    <row r="14" spans="1:13" x14ac:dyDescent="0.2">
      <c r="A14" s="10">
        <v>9</v>
      </c>
      <c r="B14" s="10" t="s">
        <v>303</v>
      </c>
      <c r="C14" s="10" t="s">
        <v>249</v>
      </c>
      <c r="D14" s="10">
        <f ca="1">OFFSET('バフ、デバフ種別'!$A$1,MATCH($C14,'バフ、デバフ種別'!B:B,0)-1,0)</f>
        <v>6</v>
      </c>
      <c r="E14" s="10">
        <v>4</v>
      </c>
      <c r="F14" s="10">
        <v>10</v>
      </c>
      <c r="G14" s="10" t="s">
        <v>126</v>
      </c>
      <c r="H14" s="10"/>
      <c r="I14" s="10"/>
      <c r="J14" s="10" t="s">
        <v>150</v>
      </c>
      <c r="K14" s="10" t="str" cm="1">
        <f t="array" ref="K14">_xlfn.LET(_xlpm.search_vals, _xlfn.HSTACK(G14, H14, I14),_xlpm.results, _xlfn.BYCOL(_xlpm.search_vals, _xlfn.LAMBDA(_xlpm.v, _xlfn.XLOOKUP(_xlpm.v, ノード!B:B, ノード!A:A, ""))),"[" &amp; _xlfn.TEXTJOIN(",", TRUE, _xlpm.results) &amp; "]")</f>
        <v>[2]</v>
      </c>
      <c r="L14" s="10" t="str" cm="1">
        <f t="array" ref="L14">_xlfn.LET(_xlpm.search_vals, _xlfn.HSTACK(J14),_xlpm.results, _xlfn.BYCOL(_xlpm.search_vals, _xlfn.LAMBDA(_xlpm.v, _xlfn.XLOOKUP(_xlpm.v, 素材!B:B, 素材!A:A, ""))),"[" &amp; _xlfn.TEXTJOIN(",", TRUE, _xlpm.results) &amp; "]")</f>
        <v>[5]</v>
      </c>
      <c r="M14" s="10" t="str">
        <f t="shared" si="0"/>
        <v>発電ユニットが追加で労働力を4つ出力するようになる。</v>
      </c>
    </row>
    <row r="15" spans="1:13" x14ac:dyDescent="0.2">
      <c r="A15" s="9" t="s">
        <v>31</v>
      </c>
      <c r="B15" s="9"/>
      <c r="C15" s="9"/>
      <c r="D15" s="9"/>
      <c r="E15" s="9"/>
      <c r="F15" s="9"/>
      <c r="G15" s="9"/>
      <c r="H15" s="9"/>
      <c r="I15" s="9"/>
      <c r="J15" s="9"/>
      <c r="K15" s="9"/>
      <c r="L15" s="9"/>
      <c r="M15" s="9"/>
    </row>
    <row r="20" spans="1:1" x14ac:dyDescent="0.2">
      <c r="A20" s="59" t="s">
        <v>122</v>
      </c>
    </row>
    <row r="21" spans="1:1" x14ac:dyDescent="0.2">
      <c r="A21" s="22" t="s">
        <v>286</v>
      </c>
    </row>
  </sheetData>
  <phoneticPr fontId="11"/>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59CB8A36-CB86-4292-92D9-57E79797F7F0}">
          <x14:formula1>
            <xm:f>ノード!$B$6:$B$210</xm:f>
          </x14:formula1>
          <xm:sqref>G6:I14</xm:sqref>
        </x14:dataValidation>
        <x14:dataValidation type="list" allowBlank="1" showInputMessage="1" showErrorMessage="1" xr:uid="{F459DF1B-32A3-4F43-8CC3-C987F96312A2}">
          <x14:formula1>
            <xm:f>素材!$B$6:$B$108</xm:f>
          </x14:formula1>
          <xm:sqref>J6:J14</xm:sqref>
        </x14:dataValidation>
        <x14:dataValidation type="list" allowBlank="1" showInputMessage="1" showErrorMessage="1" xr:uid="{0E710651-9CD3-409A-AFF2-EC97D71F2CB9}">
          <x14:formula1>
            <xm:f>'バフ、デバフ種別'!$B$6:$B$108</xm:f>
          </x14:formula1>
          <xm:sqref>C6:C14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2E105-03C8-4767-B42F-A960E73AD6CC}">
  <sheetPr codeName="Sheet9">
    <tabColor rgb="FF00E266"/>
  </sheetPr>
  <dimension ref="A3:D21"/>
  <sheetViews>
    <sheetView workbookViewId="0">
      <selection activeCell="A11" sqref="A11:C11"/>
    </sheetView>
  </sheetViews>
  <sheetFormatPr defaultRowHeight="13" x14ac:dyDescent="0.2"/>
  <cols>
    <col min="1" max="1" width="7.81640625" style="22" bestFit="1" customWidth="1"/>
    <col min="2" max="2" width="40.81640625" style="22" bestFit="1" customWidth="1"/>
    <col min="3" max="3" width="9" style="22" customWidth="1"/>
    <col min="4" max="4" width="7" style="22" customWidth="1"/>
  </cols>
  <sheetData>
    <row r="3" spans="1:4" x14ac:dyDescent="0.2">
      <c r="A3" s="9" t="s">
        <v>29</v>
      </c>
      <c r="B3" s="9"/>
      <c r="C3" s="9"/>
      <c r="D3" s="9"/>
    </row>
    <row r="4" spans="1:4" x14ac:dyDescent="0.2">
      <c r="A4" s="11" t="s">
        <v>246</v>
      </c>
      <c r="B4" s="11" t="s">
        <v>288</v>
      </c>
      <c r="C4" s="11" t="s">
        <v>297</v>
      </c>
      <c r="D4" s="11" t="s">
        <v>283</v>
      </c>
    </row>
    <row r="5" spans="1:4" x14ac:dyDescent="0.2">
      <c r="A5" s="12" t="s">
        <v>294</v>
      </c>
      <c r="B5" s="12" t="s">
        <v>71</v>
      </c>
      <c r="C5" s="12" t="s">
        <v>296</v>
      </c>
      <c r="D5" s="12" t="s">
        <v>282</v>
      </c>
    </row>
    <row r="6" spans="1:4" x14ac:dyDescent="0.2">
      <c r="A6" s="10">
        <v>1</v>
      </c>
      <c r="B6" s="10" t="s">
        <v>94</v>
      </c>
      <c r="C6" s="10" t="s">
        <v>94</v>
      </c>
      <c r="D6" s="10" t="s">
        <v>94</v>
      </c>
    </row>
    <row r="7" spans="1:4" x14ac:dyDescent="0.2">
      <c r="A7" s="10">
        <v>2</v>
      </c>
      <c r="B7" s="10" t="s">
        <v>243</v>
      </c>
      <c r="C7" s="10">
        <v>1</v>
      </c>
      <c r="D7" s="10">
        <v>100</v>
      </c>
    </row>
    <row r="8" spans="1:4" x14ac:dyDescent="0.2">
      <c r="A8" s="10">
        <v>3</v>
      </c>
      <c r="B8" s="10" t="s">
        <v>244</v>
      </c>
      <c r="C8" s="10">
        <v>1</v>
      </c>
      <c r="D8" s="10">
        <v>100</v>
      </c>
    </row>
    <row r="9" spans="1:4" x14ac:dyDescent="0.2">
      <c r="A9" s="10">
        <v>4</v>
      </c>
      <c r="B9" s="10" t="s">
        <v>251</v>
      </c>
      <c r="C9" s="10">
        <v>-1</v>
      </c>
      <c r="D9" s="10">
        <v>3</v>
      </c>
    </row>
    <row r="10" spans="1:4" x14ac:dyDescent="0.2">
      <c r="A10" s="10">
        <v>5</v>
      </c>
      <c r="B10" s="10" t="s">
        <v>252</v>
      </c>
      <c r="C10" s="10">
        <v>1</v>
      </c>
      <c r="D10" s="10">
        <v>3</v>
      </c>
    </row>
    <row r="11" spans="1:4" x14ac:dyDescent="0.2">
      <c r="A11" s="10">
        <v>6</v>
      </c>
      <c r="B11" s="10" t="s">
        <v>249</v>
      </c>
      <c r="C11" s="10">
        <v>1</v>
      </c>
      <c r="D11" s="10">
        <v>2</v>
      </c>
    </row>
    <row r="12" spans="1:4" x14ac:dyDescent="0.2">
      <c r="A12" s="10">
        <v>7</v>
      </c>
      <c r="B12" s="10" t="s">
        <v>250</v>
      </c>
      <c r="C12" s="10">
        <v>-1</v>
      </c>
      <c r="D12" s="10">
        <v>1</v>
      </c>
    </row>
    <row r="13" spans="1:4" x14ac:dyDescent="0.2">
      <c r="A13" s="10">
        <v>8</v>
      </c>
      <c r="B13" s="10" t="s">
        <v>277</v>
      </c>
      <c r="C13" s="10">
        <v>0</v>
      </c>
      <c r="D13" s="10">
        <v>3</v>
      </c>
    </row>
    <row r="14" spans="1:4" x14ac:dyDescent="0.2">
      <c r="A14" s="10">
        <v>9</v>
      </c>
      <c r="B14" s="10" t="s">
        <v>289</v>
      </c>
      <c r="C14" s="10">
        <v>0</v>
      </c>
      <c r="D14" s="10">
        <v>100</v>
      </c>
    </row>
    <row r="15" spans="1:4" x14ac:dyDescent="0.2">
      <c r="A15" s="9" t="s">
        <v>31</v>
      </c>
      <c r="B15" s="9"/>
      <c r="C15" s="9"/>
      <c r="D15" s="9"/>
    </row>
    <row r="20" spans="1:1" s="22" customFormat="1" x14ac:dyDescent="0.2">
      <c r="A20" s="59" t="s">
        <v>122</v>
      </c>
    </row>
    <row r="21" spans="1:1" s="22" customFormat="1" x14ac:dyDescent="0.2">
      <c r="A21" s="22" t="s">
        <v>295</v>
      </c>
    </row>
  </sheetData>
  <phoneticPr fontId="11"/>
  <conditionalFormatting sqref="C7:C14">
    <cfRule type="iconSet" priority="10">
      <iconSet iconSet="3Arrows">
        <cfvo type="percent" val="0"/>
        <cfvo type="percent" val="33"/>
        <cfvo type="percent" val="67"/>
      </iconSe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iconSet" priority="12" id="{699D26B4-486E-4183-A065-AEE25E90640D}">
            <x14:iconSet iconSet="3Triangles">
              <x14:cfvo type="percent">
                <xm:f>0</xm:f>
              </x14:cfvo>
              <x14:cfvo type="percent">
                <xm:f>33</xm:f>
              </x14:cfvo>
              <x14:cfvo type="percent">
                <xm:f>67</xm:f>
              </x14:cfvo>
            </x14:iconSet>
          </x14:cfRule>
          <xm:sqref>C6:C14</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JSON出力ツール</vt:lpstr>
      <vt:lpstr>IDクラス出力ツール</vt:lpstr>
      <vt:lpstr>素材</vt:lpstr>
      <vt:lpstr>ノード</vt:lpstr>
      <vt:lpstr>ノードコスト</vt:lpstr>
      <vt:lpstr>ノードIO</vt:lpstr>
      <vt:lpstr>章</vt:lpstr>
      <vt:lpstr>依頼</vt:lpstr>
      <vt:lpstr>依頼種別</vt:lpstr>
      <vt:lpstr>依頼主</vt:lpstr>
      <vt:lpstr>バフ、デバフ</vt:lpstr>
      <vt:lpstr>バフ、デバフ種別</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2026-02-10T09:31:48Z</dcterms:modified>
</cp:coreProperties>
</file>