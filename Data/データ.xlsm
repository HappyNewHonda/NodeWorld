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8"/>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<sst xmlns="http://schemas.openxmlformats.org/spreadsheetml/2006/main" count="1061" uniqueCount="395">
  <si>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</si>
  <si>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</si>
  <si>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</si>
  <si>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</si>
  <si>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</si>
  <si>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</si>
  <si>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</si>
  <si>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</si>
  <si>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</si>
  <si>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</si>
  <si>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</si>
  <si>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</si>
  <si>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</si>
  <si>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</si>
  <si>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</si>
  <si>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</si>
  <si>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</si>
  <si>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</si>
  <si>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</si>
  <si>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</si>
  <si>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</si>
  <si>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</si>
  <si>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</si>
  <si>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</si>
  <si>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</si>
  <si>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</si>
  <si>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</si>
  <si>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</si>
  <si>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</si>
  <si>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</si>
  <si>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</si>
  <si>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</si>
  <si>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</si>
  <si>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</si>
  <si>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</si>
  <si>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</si>
  <si>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</si>
  <si>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</si>
  <si>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</si>
  <si>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</si>
  <si>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</si>
  <si>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</si>
  <si>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</si>
  <si>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</si>
  <si>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</si>
  <si>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</si>
  <si>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</si>
  <si>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</si>
  <si>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</si>
  <si>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</si>
  <si>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</si>
  <si>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</si>
  <si>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</si>
  <si>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</si>
  <si>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</si>
  <si>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</si>
  <si>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</si>
  <si>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</si>
  <si>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</si>
  <si>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</si>
  <si>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</si>
  <si>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</si>
  <si>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</si>
  <si>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</si>
  <si>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</si>
  <si>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</si>
  <si>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</si>
  <si>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</si>
  <si>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</si>
  <si>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</si>
  <si>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</si>
  <si>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</si>
  <si>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</si>
  <si>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</si>
  <si>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</si>
  <si>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</si>
  <si>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</si>
  <si>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</si>
  <si>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</si>
  <si>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</si>
  <si>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</si>
  <si>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</si>
  <si>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</si>
  <si>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</si>
  <si>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</si>
  <si>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</si>
  <si>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</si>
  <si>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</si>
  <si>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</si>
  <si>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</si>
  <si>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</si>
  <si>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</si>
  <si>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</si>
  <si>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</si>
  <si>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</si>
  <si>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</si>
  <si>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</si>
  <si>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</si>
  <si>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</si>
  <si>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</si>
  <si>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</si>
  <si>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</si>
  <si>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</si>
  <si>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</si>
  <si>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</si>
  <si>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</si>
  <si>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</si>
  <si>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</si>
  <si>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</si>
  <si>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</si>
  <si>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</si>
  <si>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</si>
  <si>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</si>
  <si>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</si>
  <si>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</si>
  <si>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</si>
  <si>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</si>
  <si>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</si>
  <si>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</si>
  <si>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</si>
  <si>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</si>
  <si>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</si>
  <si>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</si>
  <si>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</si>
  <si>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</si>
  <si>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</si>
  <si>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</si>
  <si>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</si>
  <si>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</si>
  <si>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</si>
  <si>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</si>
  <si>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</si>
  <si>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</si>
  <si>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</si>
  <si>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</si>
  <si>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</si>
  <si>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</si>
  <si>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</si>
  <si>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</si>
  <si>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</si>
  <si>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</si>
  <si>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</si>
  <si>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</si>
  <si>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</si>
  <si>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</si>
  <si>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</si>
  <si>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</si>
  <si>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</si>
  <si>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</si>
  <si>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</si>
  <si>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</si>
  <si>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</si>
  <si>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</si>
  <si>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</si>
  <si>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</si>
  <si>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</si>
  <si>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</si>
  <si>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</si>
  <si>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</si>
  <si>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</si>
  <si>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</si>
  <si>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</si>
  <si>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</si>
  <si>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</si>
  <si>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</si>
  <si>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</si>
  <si>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</si>
  <si>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</si>
  <si>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</si>
  <si>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</si>
  <si>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</si>
  <si>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</si>
  <si>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</si>
  <si>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</si>
  <si>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</si>
  <si>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</si>
  <si>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</si>
  <si>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管理ID</t>
  </si>
  <si>
    <t xml:space="preserve">位置</t>
  </si>
  <si>
    <t xml:space="preserve">位置（x,y:座標、z:管理ID）</t>
  </si>
  <si>
    <t xml:space="preserve">長い混乱の時代でした。多くのものが失われました。</t>
  </si>
  <si>
    <t xml:space="preserve">Type:string</t>
  </si>
  <si>
    <t xml:space="preserve">Parameter:string</t>
  </si>
  <si>
    <t xml:space="preserve">Postion:Vector3</t>
  </si>
  <si>
    <t xml:space="preserve">しかし、私たちはまだここにいます。」</t>
  </si>
  <si>
    <t xml:space="preserve">PrefabLoad</t>
  </si>
  <si>
    <t xml:space="preserve">0,0</t>
  </si>
  <si>
    <t xml:space="preserve">OpeningPrefab</t>
  </si>
  <si>
    <t xml:space="preserve">「国は本日付で、各区画への"調律者"派遣を正式に開始します。</t>
  </si>
  <si>
    <t xml:space="preserve">PrefabDelete</t>
  </si>
  <si>
    <t xml:space="preserve">調律者は、皆さんの暮らしを立て直す技術支援者です。</t>
  </si>
  <si>
    <t xml:space="preserve">ShowMessage</t>
  </si>
  <si>
    <t xml:space="preserve">メッセージテキスト</t>
  </si>
  <si>
    <t xml:space="preserve">配属先の区画では、住民の声を聞き、インフラを再構築する権限が与えられます。」</t>
  </si>
  <si>
    <t xml:space="preserve">DeleteMessage</t>
  </si>
  <si>
    <t xml:space="preserve">「私たちに残された資源は、決して豊かではありません。</t>
  </si>
  <si>
    <t xml:space="preserve">ShowAI</t>
  </si>
  <si>
    <t xml:space="preserve">LUMI</t>
  </si>
  <si>
    <t xml:space="preserve">ですが、正しく配り、正しくつなげば、人は再び立ち上がれます。</t>
  </si>
  <si>
    <t xml:space="preserve">DeleteAI</t>
  </si>
  <si>
    <t xml:space="preserve">どうか調律者を信じ、共に歩んでください。」</t>
  </si>
  <si>
    <t xml:space="preserve">ChangeAIImage</t>
  </si>
  <si>
    <t xml:space="preserve">笑顔</t>
  </si>
  <si>
    <t xml:space="preserve">「……なお、調律者への要望・相談は各区の掲示板へ。</t>
  </si>
  <si>
    <t xml:space="preserve">ShowAIText</t>
  </si>
  <si>
    <t xml:space="preserve">おはようございます。私はリュミです。</t>
  </si>
  <si>
    <t xml:space="preserve">あなたの声が、明日のこの街をつくります。」</t>
  </si>
  <si>
    <t xml:space="preserve">DeleteAIText</t>
  </si>
  <si>
    <t xml:space="preserve">AddNode</t>
  </si>
  <si>
    <t xml:space="preserve">「……起動確認。生体認証……完了。</t>
  </si>
  <si>
    <t xml:space="preserve">DeleteNode</t>
  </si>
  <si>
    <t xml:space="preserve">はじめまして、調律者さま。支援AIのリュミです。」</t>
  </si>
  <si>
    <t xml:space="preserve">AddEffect</t>
  </si>
  <si>
    <t xml:space="preserve">「さっきの放送、聞こえていましたか？</t>
  </si>
  <si>
    <t xml:space="preserve">RemoveEffect</t>
  </si>
  <si>
    <t xml:space="preserve">"共に歩んでください"──なかなか立派なことを言いますよね。</t>
  </si>
  <si>
    <t xml:space="preserve">WaitDelayMillSec</t>
  </si>
  <si>
    <t xml:space="preserve">でも、実際に泥をかぶるのは、ぼくらの方です。」</t>
  </si>
  <si>
    <t xml:space="preserve">AnimationPlay</t>
  </si>
  <si>
    <t xml:space="preserve">Opening1</t>
  </si>
  <si>
    <t xml:space="preserve">「ここは第7居住区。通称"ナナク"。</t>
  </si>
  <si>
    <t xml:space="preserve">WaitAnimation</t>
  </si>
  <si>
    <t xml:space="preserve">小さな区画ですが……正直、状態は良くないです。</t>
  </si>
  <si>
    <t xml:space="preserve">SetCameraPosition</t>
  </si>
  <si>
    <t xml:space="preserve">水も、電気も、まともに通っていません。」</t>
  </si>
  <si>
    <t xml:space="preserve">SetCameraScale</t>
  </si>
  <si>
    <t xml:space="preserve">「でも、人はいます。</t>
  </si>
  <si>
    <t xml:space="preserve">100,-100</t>
  </si>
  <si>
    <t xml:space="preserve">瓦礫の中で、それでも暮らしている人たちが。」</t>
  </si>
  <si>
    <t xml:space="preserve">1.5,1.5,1</t>
  </si>
  <si>
    <t xml:space="preserve">「さて──あちらが"掲示板"です。</t>
  </si>
  <si>
    <t xml:space="preserve">-550, 200</t>
  </si>
  <si>
    <t xml:space="preserve">住民の声は中央で取りまとめられ、依頼としてここに届きます。</t>
  </si>
  <si>
    <t xml:space="preserve">-550,-100</t>
  </si>
  <si>
    <t xml:space="preserve">調律者さまは、この依頼を読んで、叶えていく。</t>
  </si>
  <si>
    <t xml:space="preserve">-175, 275</t>
  </si>
  <si>
    <t xml:space="preserve">それがお仕事です。」</t>
  </si>
  <si>
    <t xml:space="preserve">225, 25</t>
  </si>
  <si>
    <t xml:space="preserve">「最初の依頼がもう届いているようですね。</t>
  </si>
  <si>
    <t xml:space="preserve">575, 250</t>
  </si>
  <si>
    <t xml:space="preserve">水と電気──生活の最低限です。</t>
  </si>
  <si>
    <t xml:space="preserve">575, -300</t>
  </si>
  <si>
    <t xml:space="preserve">ぼくがつなぎ方を案内しますから、一緒にやりましょう。」</t>
  </si>
  <si>
    <t xml:space="preserve">225, -300</t>
  </si>
  <si>
    <t xml:space="preserve">-500, 650</t>
  </si>
  <si>
    <t xml:space="preserve">ナナク日報（号外）</t>
  </si>
  <si>
    <t xml:space="preserve">-1050, 450</t>
  </si>
  <si>
    <t xml:space="preserve">「ついに調律者が着任──第7居住区にも復興の光」</t>
  </si>
  <si>
    <t xml:space="preserve">-1175, 125</t>
  </si>
  <si>
    <t xml:space="preserve">長らく放置されていた当区にも、ようやく調律者が配属された。住民からは期待の声が上がっている。水処理・発電設備の稼働が最優先とのこと。 </t>
  </si>
  <si>
    <t xml:space="preserve">-1000, -250</t>
  </si>
  <si>
    <t xml:space="preserve">-550, -475</t>
  </si>
  <si>
    <t xml:space="preserve">75, 675</t>
  </si>
  <si>
    <t xml:space="preserve">600, 550</t>
  </si>
  <si>
    <t xml:space="preserve">0, 0</t>
  </si>
  <si>
    <t xml:space="preserve">0.8,0.8,1</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</si>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</sst>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8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-10800</xdr:colOff>
          <xdr:row>3</xdr:row>
          <xdr:rowOff>16200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-10800</xdr:colOff>
          <xdr:row>3</xdr:row>
          <xdr:rowOff>32760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-10800</xdr:colOff>
                    <xdr:row>3</xdr:row>
                    <xdr:rowOff>16200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-10800</xdr:colOff>
                    <xdr:row>3</xdr:row>
                    <xdr:rowOff>32760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2.75" hidden="false" customHeight="false" outlineLevel="0" collapsed="false">
      <c r="A3" s="46" t="s">
        <v>94</v>
      </c>
      <c r="B3" s="46"/>
      <c r="C3" s="46"/>
      <c r="D3" s="46"/>
      <c r="E3" s="46"/>
    </row>
    <row r="4" customFormat="false" ht="12.75" hidden="false" customHeight="false" outlineLevel="0" collapsed="false">
      <c r="A4" s="47" t="s">
        <v>95</v>
      </c>
      <c r="B4" s="47" t="s">
        <v>96</v>
      </c>
      <c r="C4" s="47" t="s">
        <v>116</v>
      </c>
      <c r="D4" s="47" t="s">
        <v>117</v>
      </c>
      <c r="E4" s="47" t="s">
        <v>118</v>
      </c>
    </row>
    <row r="5" customFormat="false" ht="12.75" hidden="false" customHeight="false" outlineLevel="0" collapsed="false">
      <c r="A5" s="49" t="s">
        <v>101</v>
      </c>
      <c r="B5" s="49" t="s">
        <v>102</v>
      </c>
      <c r="C5" s="49" t="s">
        <v>119</v>
      </c>
      <c r="D5" s="49" t="s">
        <v>120</v>
      </c>
      <c r="E5" s="49" t="s">
        <v>121</v>
      </c>
    </row>
    <row r="6" customFormat="false" ht="12.75" hidden="false" customHeight="false" outlineLevel="0" collapsed="false">
      <c r="A6" s="50" t="n">
        <v>1</v>
      </c>
      <c r="B6" s="50" t="s">
        <v>122</v>
      </c>
      <c r="C6" s="50" t="n">
        <v>99</v>
      </c>
      <c r="D6" s="50" t="n">
        <v>99</v>
      </c>
      <c r="E6" s="50" t="n">
        <v>0</v>
      </c>
    </row>
    <row r="7" customFormat="false" ht="12.75" hidden="false" customHeight="false" outlineLevel="0" collapsed="false">
      <c r="A7" s="50" t="n">
        <v>2</v>
      </c>
      <c r="B7" s="50" t="s">
        <v>123</v>
      </c>
      <c r="C7" s="50" t="n">
        <v>99</v>
      </c>
      <c r="D7" s="50" t="n">
        <v>99</v>
      </c>
      <c r="E7" s="50" t="n">
        <v>0</v>
      </c>
    </row>
    <row r="8" customFormat="false" ht="12.75" hidden="false" customHeight="false" outlineLevel="0" collapsed="false">
      <c r="A8" s="50" t="n">
        <v>3</v>
      </c>
      <c r="B8" s="50" t="s">
        <v>124</v>
      </c>
      <c r="C8" s="50" t="n">
        <v>1</v>
      </c>
      <c r="D8" s="50" t="n">
        <v>3</v>
      </c>
      <c r="E8" s="50" t="n">
        <v>1</v>
      </c>
    </row>
    <row r="9" customFormat="false" ht="12.75" hidden="false" customHeight="false" outlineLevel="0" collapsed="false">
      <c r="A9" s="50" t="n">
        <v>4</v>
      </c>
      <c r="B9" s="50" t="s">
        <v>125</v>
      </c>
      <c r="C9" s="50" t="n">
        <v>1</v>
      </c>
      <c r="D9" s="50" t="n">
        <v>3</v>
      </c>
      <c r="E9" s="50" t="n">
        <v>1</v>
      </c>
    </row>
    <row r="10" customFormat="false" ht="12.75" hidden="false" customHeight="false" outlineLevel="0" collapsed="false">
      <c r="A10" s="50" t="n">
        <v>5</v>
      </c>
      <c r="B10" s="50" t="s">
        <v>126</v>
      </c>
      <c r="C10" s="50" t="n">
        <v>1</v>
      </c>
      <c r="D10" s="50" t="n">
        <v>3</v>
      </c>
      <c r="E10" s="50" t="n">
        <v>0</v>
      </c>
    </row>
    <row r="11" customFormat="false" ht="12.75" hidden="false" customHeight="false" outlineLevel="0" collapsed="false">
      <c r="A11" s="50" t="n">
        <v>6</v>
      </c>
      <c r="B11" s="50" t="s">
        <v>127</v>
      </c>
      <c r="C11" s="50" t="n">
        <v>1</v>
      </c>
      <c r="D11" s="50" t="n">
        <v>4</v>
      </c>
      <c r="E11" s="50" t="n">
        <v>1</v>
      </c>
    </row>
    <row r="12" customFormat="false" ht="12.75" hidden="false" customHeight="false" outlineLevel="0" collapsed="false">
      <c r="A12" s="50" t="n">
        <v>7</v>
      </c>
      <c r="B12" s="50" t="s">
        <v>128</v>
      </c>
      <c r="C12" s="50" t="n">
        <v>1</v>
      </c>
      <c r="D12" s="50" t="n">
        <v>5</v>
      </c>
      <c r="E12" s="50" t="n">
        <v>1</v>
      </c>
    </row>
    <row r="13" customFormat="false" ht="12.75" hidden="false" customHeight="false" outlineLevel="0" collapsed="false">
      <c r="A13" s="50" t="n">
        <v>8</v>
      </c>
      <c r="B13" s="50" t="s">
        <v>129</v>
      </c>
      <c r="C13" s="50" t="n">
        <v>99</v>
      </c>
      <c r="D13" s="50" t="n">
        <v>99</v>
      </c>
      <c r="E13" s="50" t="n">
        <v>0</v>
      </c>
    </row>
    <row r="14" customFormat="false" ht="12.75" hidden="false" customHeight="false" outlineLevel="0" collapsed="false">
      <c r="A14" s="50" t="n">
        <v>9</v>
      </c>
      <c r="B14" s="50" t="s">
        <v>130</v>
      </c>
      <c r="C14" s="50" t="n">
        <v>99</v>
      </c>
      <c r="D14" s="50" t="n">
        <v>99</v>
      </c>
      <c r="E14" s="50" t="n">
        <v>1</v>
      </c>
    </row>
    <row r="15" customFormat="false" ht="12.75" hidden="false" customHeight="false" outlineLevel="0" collapsed="false">
      <c r="A15" s="50" t="n">
        <v>10</v>
      </c>
      <c r="B15" s="50" t="s">
        <v>131</v>
      </c>
      <c r="C15" s="50" t="n">
        <v>1</v>
      </c>
      <c r="D15" s="50" t="n">
        <v>6</v>
      </c>
      <c r="E15" s="50" t="n">
        <v>1</v>
      </c>
    </row>
    <row r="16" customFormat="false" ht="12.75"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t="s">
        <v>110</v>
      </c>
      <c r="H9" s="50" t="n">
        <v>1</v>
      </c>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[2,5]</v>
      </c>
      <c r="P9" s="63" t="str">
        <f aca="false">"[" &amp; _xlfn.TEXTJOIN(",", 1,   IF(ISNUMBER(MATCH(E9, 素材!B:B, 0)), F9, ""),   IF(ISNUMBER(MATCH(G9, 素材!B:B, 0)), H9, ""),   IF(ISNUMBER(MATCH(I9, 素材!B:B, 0)), J9, ""),   IF(ISNUMBER(MATCH(K9, 素材!B:B, 0)), L9, "") ) &amp; "]"</f>
        <v>[4,1]</v>
      </c>
      <c r="Q9" s="63" t="str">
        <f aca="false">"[" &amp; _xlfn.TEXTJOIN(",", 1,   IFERROR(INDEX(素材!A:A, MATCH(M9, 素材!B:B, 0)), "") ) &amp; "]"</f>
        <v>[4]</v>
      </c>
      <c r="R9" s="64"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3</v>
      </c>
      <c r="I10" s="50" t="s">
        <v>111</v>
      </c>
      <c r="J10" s="50" t="n">
        <v>1</v>
      </c>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[2,5,6]</v>
      </c>
      <c r="P10" s="63" t="str">
        <f aca="false">"[" &amp; _xlfn.TEXTJOIN(",", 1,   IF(ISNUMBER(MATCH(E10, 素材!B:B, 0)), F10, ""),   IF(ISNUMBER(MATCH(G10, 素材!B:B, 0)), H10, ""),   IF(ISNUMBER(MATCH(I10, 素材!B:B, 0)), J10, ""),   IF(ISNUMBER(MATCH(K10, 素材!B:B, 0)), L10, "") ) &amp; "]"</f>
        <v>[6,3,1]</v>
      </c>
      <c r="Q10" s="63" t="str">
        <f aca="false">"[" &amp; _xlfn.TEXTJOIN(",", 1,   IFERROR(INDEX(素材!A:A, MATCH(M10, 素材!B:B, 0)), "") ) &amp; "]"</f>
        <v>[4]</v>
      </c>
      <c r="R10" s="64"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4</v>
      </c>
      <c r="I11" s="50" t="s">
        <v>111</v>
      </c>
      <c r="J11" s="50" t="n">
        <v>2</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[8,4,2]</v>
      </c>
      <c r="Q11" s="63" t="str">
        <f aca="false">"[" &amp; _xlfn.TEXTJOIN(",", 1,   IFERROR(INDEX(素材!A:A, MATCH(M11, 素材!B:B, 0)), "") ) &amp; "]"</f>
        <v>[4]</v>
      </c>
      <c r="R11" s="64"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5</v>
      </c>
      <c r="I12" s="50" t="s">
        <v>111</v>
      </c>
      <c r="J12" s="50" t="n">
        <v>4</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[10,5,4]</v>
      </c>
      <c r="Q12" s="63" t="str">
        <f aca="false">"[" &amp; _xlfn.TEXTJOIN(",", 1,   IFERROR(INDEX(素材!A:A, MATCH(M12, 素材!B:B, 0)), "") ) &amp; "]"</f>
        <v>[4]</v>
      </c>
      <c r="R12" s="64"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6</v>
      </c>
      <c r="I13" s="50" t="s">
        <v>111</v>
      </c>
      <c r="J13" s="50" t="n">
        <v>7</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[12,6,7]</v>
      </c>
      <c r="Q13" s="63" t="str">
        <f aca="false">"[" &amp; _xlfn.TEXTJOIN(",", 1,   IFERROR(INDEX(素材!A:A, MATCH(M13, 素材!B:B, 0)), "") ) &amp; "]"</f>
        <v>[4]</v>
      </c>
      <c r="R13" s="64"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7</v>
      </c>
      <c r="I14" s="50" t="s">
        <v>111</v>
      </c>
      <c r="J14" s="50" t="n">
        <v>11</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[14,7,11]</v>
      </c>
      <c r="Q14" s="63" t="str">
        <f aca="false">"[" &amp; _xlfn.TEXTJOIN(",", 1,   IFERROR(INDEX(素材!A:A, MATCH(M14, 素材!B:B, 0)), "") ) &amp; "]"</f>
        <v>[4]</v>
      </c>
      <c r="R14" s="64"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8</v>
      </c>
      <c r="I15" s="50" t="s">
        <v>111</v>
      </c>
      <c r="J15" s="50" t="n">
        <v>16</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[16,8,16]</v>
      </c>
      <c r="Q15" s="63" t="str">
        <f aca="false">"[" &amp; _xlfn.TEXTJOIN(",", 1,   IFERROR(INDEX(素材!A:A, MATCH(M15, 素材!B:B, 0)), "") ) &amp; "]"</f>
        <v>[4]</v>
      </c>
      <c r="R15" s="64"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9</v>
      </c>
      <c r="I16" s="50" t="s">
        <v>111</v>
      </c>
      <c r="J16" s="50" t="n">
        <v>22</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[18,9,22]</v>
      </c>
      <c r="Q16" s="63" t="str">
        <f aca="false">"[" &amp; _xlfn.TEXTJOIN(",", 1,   IFERROR(INDEX(素材!A:A, MATCH(M16, 素材!B:B, 0)), "") ) &amp; "]"</f>
        <v>[4]</v>
      </c>
      <c r="R16" s="64"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10</v>
      </c>
      <c r="I17" s="50" t="s">
        <v>111</v>
      </c>
      <c r="J17" s="50" t="n">
        <v>30</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[20,10,30]</v>
      </c>
      <c r="Q17" s="63" t="str">
        <f aca="false">"[" &amp; _xlfn.TEXTJOIN(",", 1,   IFERROR(INDEX(素材!A:A, MATCH(M17, 素材!B:B, 0)), "") ) &amp; "]"</f>
        <v>[4]</v>
      </c>
      <c r="R17" s="64"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55"/>
  <sheetViews>
    <sheetView showFormulas="false" showGridLines="true" showRowColHeaders="true" showZeros="true" rightToLeft="false" tabSelected="false" showOutlineSymbols="true" defaultGridColor="true" view="normal" topLeftCell="H19" colorId="64" zoomScale="100" zoomScaleNormal="100" zoomScalePageLayoutView="100" workbookViewId="0">
      <selection pane="topLeft" activeCell="A49" activeCellId="0" sqref="A49"/>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0"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t="s">
        <v>176</v>
      </c>
    </row>
    <row r="4" customFormat="false" ht="13.8" hidden="false" customHeight="false" outlineLevel="0" collapsed="false">
      <c r="A4" s="47" t="s">
        <v>95</v>
      </c>
      <c r="B4" s="47" t="s">
        <v>96</v>
      </c>
      <c r="C4" s="68" t="s">
        <v>177</v>
      </c>
      <c r="D4" s="68" t="s">
        <v>178</v>
      </c>
      <c r="E4" s="47" t="s">
        <v>96</v>
      </c>
      <c r="F4" s="47" t="s">
        <v>179</v>
      </c>
      <c r="H4" s="67" t="s">
        <v>180</v>
      </c>
    </row>
    <row r="5" customFormat="false" ht="13.8" hidden="false" customHeight="false" outlineLevel="0" collapsed="false">
      <c r="A5" s="49" t="s">
        <v>101</v>
      </c>
      <c r="B5" s="49" t="s">
        <v>181</v>
      </c>
      <c r="C5" s="49"/>
      <c r="D5" s="69"/>
      <c r="E5" s="69" t="s">
        <v>182</v>
      </c>
      <c r="F5" s="69" t="s">
        <v>183</v>
      </c>
      <c r="H5" s="67" t="s">
        <v>184</v>
      </c>
    </row>
    <row r="6" customFormat="false" ht="13.8" hidden="false" customHeight="false" outlineLevel="0" collapsed="false">
      <c r="A6" s="50" t="n">
        <v>0</v>
      </c>
      <c r="B6" s="50" t="s">
        <v>185</v>
      </c>
      <c r="C6" s="50" t="n">
        <v>5</v>
      </c>
      <c r="D6" s="50" t="s">
        <v>186</v>
      </c>
      <c r="E6" s="50" t="s">
        <v>187</v>
      </c>
      <c r="F6" s="50" t="str">
        <f aca="false">"{ ""x"": " &amp; TRIM(INDEX(_xlfn.TEXTSPLIT(D6,","),1)) &amp;
", ""y"": " &amp; TRIM(INDEX(_xlfn.TEXTSPLIT(D6,","),2)) &amp;
", ""z"": " &amp; C6 &amp; " }"</f>
        <v>{ "x": 0, "y": 0, "z": 5 }</v>
      </c>
      <c r="H6" s="67" t="s">
        <v>188</v>
      </c>
    </row>
    <row r="7" customFormat="false" ht="13.8" hidden="false" customHeight="false" outlineLevel="0" collapsed="false">
      <c r="A7" s="50" t="n">
        <v>0</v>
      </c>
      <c r="B7" s="50" t="s">
        <v>189</v>
      </c>
      <c r="C7" s="50" t="n">
        <v>5</v>
      </c>
      <c r="D7" s="50" t="s">
        <v>186</v>
      </c>
      <c r="E7" s="50"/>
      <c r="F7" s="50" t="str">
        <f aca="false">"{ ""x"": " &amp; TRIM(INDEX(_xlfn.TEXTSPLIT(D7,","),1)) &amp;
", ""y"": " &amp; TRIM(INDEX(_xlfn.TEXTSPLIT(D7,","),2)) &amp;
", ""z"": " &amp; C7 &amp; " }"</f>
        <v>{ "x": 0, "y": 0, "z": 5 }</v>
      </c>
      <c r="H7" s="67" t="s">
        <v>190</v>
      </c>
    </row>
    <row r="8" customFormat="false" ht="13.8" hidden="false" customHeight="false" outlineLevel="0" collapsed="false">
      <c r="A8" s="50" t="n">
        <v>0</v>
      </c>
      <c r="B8" s="50" t="s">
        <v>191</v>
      </c>
      <c r="C8" s="50" t="n">
        <v>1</v>
      </c>
      <c r="D8" s="50" t="s">
        <v>186</v>
      </c>
      <c r="E8" s="50" t="s">
        <v>192</v>
      </c>
      <c r="F8" s="50" t="str">
        <f aca="false">"{ ""x"": " &amp; TRIM(INDEX(_xlfn.TEXTSPLIT(D8,","),1)) &amp;
", ""y"": " &amp; TRIM(INDEX(_xlfn.TEXTSPLIT(D8,","),2)) &amp;
", ""z"": " &amp; C8 &amp; " }"</f>
        <v>{ "x": 0, "y": 0, "z": 1 }</v>
      </c>
      <c r="H8" s="67" t="s">
        <v>193</v>
      </c>
    </row>
    <row r="9" customFormat="false" ht="13.8" hidden="false" customHeight="false" outlineLevel="0" collapsed="false">
      <c r="A9" s="50" t="n">
        <v>0</v>
      </c>
      <c r="B9" s="50" t="s">
        <v>194</v>
      </c>
      <c r="C9" s="50" t="n">
        <v>1</v>
      </c>
      <c r="D9" s="50" t="s">
        <v>186</v>
      </c>
      <c r="E9" s="50"/>
      <c r="F9" s="50" t="str">
        <f aca="false">"{ ""x"": " &amp; TRIM(INDEX(_xlfn.TEXTSPLIT(D9,","),1)) &amp;
", ""y"": " &amp; TRIM(INDEX(_xlfn.TEXTSPLIT(D9,","),2)) &amp;
", ""z"": " &amp; C9 &amp; " }"</f>
        <v>{ "x": 0, "y": 0, "z": 1 }</v>
      </c>
      <c r="H9" s="67" t="s">
        <v>195</v>
      </c>
    </row>
    <row r="10" customFormat="false" ht="13.8" hidden="false" customHeight="false" outlineLevel="0" collapsed="false">
      <c r="A10" s="50" t="n">
        <v>0</v>
      </c>
      <c r="B10" s="50" t="s">
        <v>196</v>
      </c>
      <c r="C10" s="50" t="n">
        <v>2</v>
      </c>
      <c r="D10" s="50" t="s">
        <v>186</v>
      </c>
      <c r="E10" s="50" t="s">
        <v>197</v>
      </c>
      <c r="F10" s="50" t="str">
        <f aca="false">"{ ""x"": " &amp; TRIM(INDEX(_xlfn.TEXTSPLIT(D10,","),1)) &amp;
", ""y"": " &amp; TRIM(INDEX(_xlfn.TEXTSPLIT(D10,","),2)) &amp;
", ""z"": " &amp; C10 &amp; " }"</f>
        <v>{ "x": 0, "y": 0, "z": 2 }</v>
      </c>
      <c r="H10" s="67" t="s">
        <v>198</v>
      </c>
    </row>
    <row r="11" customFormat="false" ht="13.8" hidden="false" customHeight="false" outlineLevel="0" collapsed="false">
      <c r="A11" s="50" t="n">
        <v>0</v>
      </c>
      <c r="B11" s="50" t="s">
        <v>199</v>
      </c>
      <c r="C11" s="50" t="n">
        <v>2</v>
      </c>
      <c r="D11" s="50" t="s">
        <v>186</v>
      </c>
      <c r="E11" s="50"/>
      <c r="F11" s="50" t="str">
        <f aca="false">"{ ""x"": " &amp; TRIM(INDEX(_xlfn.TEXTSPLIT(D11,","),1)) &amp;
", ""y"": " &amp; TRIM(INDEX(_xlfn.TEXTSPLIT(D11,","),2)) &amp;
", ""z"": " &amp; C11 &amp; " }"</f>
        <v>{ "x": 0, "y": 0, "z": 2 }</v>
      </c>
      <c r="H11" s="67" t="s">
        <v>200</v>
      </c>
    </row>
    <row r="12" customFormat="false" ht="13.8" hidden="false" customHeight="false" outlineLevel="0" collapsed="false">
      <c r="A12" s="50" t="n">
        <v>0</v>
      </c>
      <c r="B12" s="50" t="s">
        <v>201</v>
      </c>
      <c r="C12" s="50" t="n">
        <v>2</v>
      </c>
      <c r="D12" s="50" t="s">
        <v>186</v>
      </c>
      <c r="E12" s="50" t="s">
        <v>202</v>
      </c>
      <c r="F12" s="50" t="str">
        <f aca="false">"{ ""x"": " &amp; TRIM(INDEX(_xlfn.TEXTSPLIT(D12,","),1)) &amp;
", ""y"": " &amp; TRIM(INDEX(_xlfn.TEXTSPLIT(D12,","),2)) &amp;
", ""z"": " &amp; C12 &amp; " }"</f>
        <v>{ "x": 0, "y": 0, "z": 2 }</v>
      </c>
      <c r="H12" s="67" t="s">
        <v>203</v>
      </c>
    </row>
    <row r="13" customFormat="false" ht="13.8" hidden="false" customHeight="false" outlineLevel="0" collapsed="false">
      <c r="A13" s="50" t="n">
        <v>0</v>
      </c>
      <c r="B13" s="50" t="s">
        <v>204</v>
      </c>
      <c r="C13" s="50" t="n">
        <v>3</v>
      </c>
      <c r="D13" s="50" t="s">
        <v>186</v>
      </c>
      <c r="E13" s="50" t="s">
        <v>205</v>
      </c>
      <c r="F13" s="50" t="str">
        <f aca="false">"{ ""x"": " &amp; TRIM(INDEX(_xlfn.TEXTSPLIT(D13,","),1)) &amp;
", ""y"": " &amp; TRIM(INDEX(_xlfn.TEXTSPLIT(D13,","),2)) &amp;
", ""z"": " &amp; C13 &amp; " }"</f>
        <v>{ "x": 0, "y": 0, "z": 3 }</v>
      </c>
      <c r="H13" s="67" t="s">
        <v>206</v>
      </c>
    </row>
    <row r="14" customFormat="false" ht="13.8" hidden="false" customHeight="false" outlineLevel="0" collapsed="false">
      <c r="A14" s="50" t="n">
        <v>0</v>
      </c>
      <c r="B14" s="50" t="s">
        <v>207</v>
      </c>
      <c r="C14" s="50" t="n">
        <v>3</v>
      </c>
      <c r="D14" s="50" t="s">
        <v>186</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208</v>
      </c>
      <c r="C15" s="50" t="n">
        <v>4</v>
      </c>
      <c r="D15" s="50" t="s">
        <v>186</v>
      </c>
      <c r="E15" s="50" t="n">
        <v>1</v>
      </c>
      <c r="F15" s="50" t="str">
        <f aca="false">"{ ""x"": " &amp; TRIM(INDEX(_xlfn.TEXTSPLIT(D15,","),1)) &amp;
", ""y"": " &amp; TRIM(INDEX(_xlfn.TEXTSPLIT(D15,","),2)) &amp;
", ""z"": " &amp; C15 &amp; " }"</f>
        <v>{ "x": 0, "y": 0, "z": 4 }</v>
      </c>
      <c r="H15" s="70" t="s">
        <v>209</v>
      </c>
    </row>
    <row r="16" customFormat="false" ht="13.8" hidden="false" customHeight="false" outlineLevel="0" collapsed="false">
      <c r="A16" s="50" t="n">
        <v>0</v>
      </c>
      <c r="B16" s="50" t="s">
        <v>210</v>
      </c>
      <c r="C16" s="50" t="n">
        <v>4</v>
      </c>
      <c r="D16" s="50" t="s">
        <v>186</v>
      </c>
      <c r="E16" s="50"/>
      <c r="F16" s="50" t="str">
        <f aca="false">"{ ""x"": " &amp; TRIM(INDEX(_xlfn.TEXTSPLIT(D16,","),1)) &amp;
", ""y"": " &amp; TRIM(INDEX(_xlfn.TEXTSPLIT(D16,","),2)) &amp;
", ""z"": " &amp; C16 &amp; " }"</f>
        <v>{ "x": 0, "y": 0, "z": 4 }</v>
      </c>
      <c r="H16" s="67" t="s">
        <v>211</v>
      </c>
    </row>
    <row r="17" customFormat="false" ht="13.8" hidden="false" customHeight="false" outlineLevel="0" collapsed="false">
      <c r="A17" s="50" t="n">
        <v>0</v>
      </c>
      <c r="B17" s="50" t="s">
        <v>212</v>
      </c>
      <c r="C17" s="50" t="n">
        <v>0</v>
      </c>
      <c r="D17" s="50" t="s">
        <v>186</v>
      </c>
      <c r="E17" s="50" t="n">
        <v>2</v>
      </c>
      <c r="F17" s="50" t="str">
        <f aca="false">"{ ""x"": " &amp; TRIM(INDEX(_xlfn.TEXTSPLIT(D17,","),1)) &amp;
", ""y"": " &amp; TRIM(INDEX(_xlfn.TEXTSPLIT(D17,","),2)) &amp;
", ""z"": " &amp; C17 &amp; " }"</f>
        <v>{ "x": 0, "y": 0, "z": 0 }</v>
      </c>
      <c r="H17" s="70" t="s">
        <v>213</v>
      </c>
    </row>
    <row r="18" customFormat="false" ht="13.8" hidden="false" customHeight="false" outlineLevel="0" collapsed="false">
      <c r="A18" s="50" t="n">
        <v>0</v>
      </c>
      <c r="B18" s="50" t="s">
        <v>214</v>
      </c>
      <c r="C18" s="50" t="n">
        <v>0</v>
      </c>
      <c r="D18" s="50" t="s">
        <v>186</v>
      </c>
      <c r="E18" s="50" t="n">
        <v>2</v>
      </c>
      <c r="F18" s="50" t="str">
        <f aca="false">"{ ""x"": " &amp; TRIM(INDEX(_xlfn.TEXTSPLIT(D18,","),1)) &amp;
", ""y"": " &amp; TRIM(INDEX(_xlfn.TEXTSPLIT(D18,","),2)) &amp;
", ""z"": " &amp; C18 &amp; " }"</f>
        <v>{ "x": 0, "y": 0, "z": 0 }</v>
      </c>
      <c r="H18" s="67" t="s">
        <v>215</v>
      </c>
    </row>
    <row r="19" customFormat="false" ht="13.8" hidden="false" customHeight="false" outlineLevel="0" collapsed="false">
      <c r="A19" s="50" t="n">
        <v>0</v>
      </c>
      <c r="B19" s="50" t="s">
        <v>216</v>
      </c>
      <c r="C19" s="50" t="n">
        <v>0</v>
      </c>
      <c r="D19" s="50" t="s">
        <v>186</v>
      </c>
      <c r="E19" s="50" t="n">
        <v>100</v>
      </c>
      <c r="F19" s="50" t="str">
        <f aca="false">"{ ""x"": " &amp; TRIM(INDEX(_xlfn.TEXTSPLIT(D19,","),1)) &amp;
", ""y"": " &amp; TRIM(INDEX(_xlfn.TEXTSPLIT(D19,","),2)) &amp;
", ""z"": " &amp; C19 &amp; " }"</f>
        <v>{ "x": 0, "y": 0, "z": 0 }</v>
      </c>
      <c r="H19" s="67" t="s">
        <v>217</v>
      </c>
    </row>
    <row r="20" customFormat="false" ht="13.8" hidden="false" customHeight="false" outlineLevel="0" collapsed="false">
      <c r="A20" s="50" t="n">
        <v>0</v>
      </c>
      <c r="B20" s="50" t="s">
        <v>218</v>
      </c>
      <c r="C20" s="50" t="n">
        <v>0</v>
      </c>
      <c r="D20" s="50" t="s">
        <v>186</v>
      </c>
      <c r="E20" s="50" t="s">
        <v>219</v>
      </c>
      <c r="F20" s="50" t="str">
        <f aca="false">"{ ""x"": " &amp; TRIM(INDEX(_xlfn.TEXTSPLIT(D20,","),1)) &amp;
", ""y"": " &amp; TRIM(INDEX(_xlfn.TEXTSPLIT(D20,","),2)) &amp;
", ""z"": " &amp; C20 &amp; " }"</f>
        <v>{ "x": 0, "y": 0, "z": 0 }</v>
      </c>
      <c r="H20" s="70" t="s">
        <v>220</v>
      </c>
    </row>
    <row r="21" customFormat="false" ht="13.8" hidden="false" customHeight="false" outlineLevel="0" collapsed="false">
      <c r="A21" s="50" t="n">
        <v>0</v>
      </c>
      <c r="B21" s="50" t="s">
        <v>221</v>
      </c>
      <c r="C21" s="50" t="n">
        <v>0</v>
      </c>
      <c r="D21" s="50" t="s">
        <v>186</v>
      </c>
      <c r="E21" s="50"/>
      <c r="F21" s="50" t="str">
        <f aca="false">"{ ""x"": " &amp; TRIM(INDEX(_xlfn.TEXTSPLIT(D21,","),1)) &amp;
", ""y"": " &amp; TRIM(INDEX(_xlfn.TEXTSPLIT(D21,","),2)) &amp;
", ""z"": " &amp; C21 &amp; " }"</f>
        <v>{ "x": 0, "y": 0, "z": 0 }</v>
      </c>
      <c r="H21" s="67" t="s">
        <v>222</v>
      </c>
    </row>
    <row r="22" customFormat="false" ht="13.8" hidden="false" customHeight="false" outlineLevel="0" collapsed="false">
      <c r="A22" s="50" t="n">
        <v>0</v>
      </c>
      <c r="B22" s="50" t="s">
        <v>223</v>
      </c>
      <c r="C22" s="50" t="n">
        <v>1</v>
      </c>
      <c r="D22" s="50" t="s">
        <v>186</v>
      </c>
      <c r="E22" s="50" t="n">
        <v>100</v>
      </c>
      <c r="F22" s="50" t="str">
        <f aca="false">"{ ""x"": " &amp; TRIM(INDEX(_xlfn.TEXTSPLIT(D22,","),1)) &amp;
", ""y"": " &amp; TRIM(INDEX(_xlfn.TEXTSPLIT(D22,","),2)) &amp;
", ""z"": " &amp; C22 &amp; " }"</f>
        <v>{ "x": 0, "y": 0, "z": 1 }</v>
      </c>
      <c r="H22" s="67" t="s">
        <v>224</v>
      </c>
    </row>
    <row r="23" customFormat="false" ht="13.8" hidden="false" customHeight="false" outlineLevel="0" collapsed="false">
      <c r="A23" s="50" t="n">
        <v>0</v>
      </c>
      <c r="B23" s="50" t="s">
        <v>225</v>
      </c>
      <c r="C23" s="50" t="n">
        <v>1</v>
      </c>
      <c r="D23" s="50" t="s">
        <v>186</v>
      </c>
      <c r="E23" s="50" t="n">
        <v>50</v>
      </c>
      <c r="F23" s="50" t="str">
        <f aca="false">"{ ""x"": " &amp; TRIM(INDEX(_xlfn.TEXTSPLIT(D23,","),1)) &amp;
", ""y"": " &amp; TRIM(INDEX(_xlfn.TEXTSPLIT(D23,","),2)) &amp;
", ""z"": " &amp; C23 &amp; " }"</f>
        <v>{ "x": 0, "y": 0, "z": 1 }</v>
      </c>
      <c r="H23" s="70" t="s">
        <v>226</v>
      </c>
    </row>
    <row r="24" customFormat="false" ht="13.8" hidden="false" customHeight="false" outlineLevel="0" collapsed="false">
      <c r="A24" s="50" t="n">
        <v>1</v>
      </c>
      <c r="B24" s="50" t="s">
        <v>223</v>
      </c>
      <c r="C24" s="50" t="n">
        <v>0</v>
      </c>
      <c r="D24" s="50" t="s">
        <v>227</v>
      </c>
      <c r="E24" s="50" t="n">
        <v>0</v>
      </c>
      <c r="F24" s="50" t="str">
        <f aca="false">"{ ""x"": " &amp; TRIM(INDEX(_xlfn.TEXTSPLIT(D24,","),1)) &amp;
", ""y"": " &amp; TRIM(INDEX(_xlfn.TEXTSPLIT(D24,","),2)) &amp;
", ""z"": " &amp; C24 &amp; " }"</f>
        <v>{ "x": 100, "y": -100, "z": 0 }</v>
      </c>
      <c r="H24" s="67" t="s">
        <v>228</v>
      </c>
    </row>
    <row r="25" customFormat="false" ht="13.8" hidden="false" customHeight="false" outlineLevel="0" collapsed="false">
      <c r="A25" s="50" t="n">
        <v>1</v>
      </c>
      <c r="B25" s="50" t="s">
        <v>225</v>
      </c>
      <c r="C25" s="50" t="n">
        <v>0</v>
      </c>
      <c r="D25" s="50" t="s">
        <v>229</v>
      </c>
      <c r="E25" s="50" t="n">
        <v>0</v>
      </c>
      <c r="F25" s="50" t="str">
        <f aca="false">"{ ""x"": " &amp; TRIM(INDEX(_xlfn.TEXTSPLIT(D25,","),1)) &amp;
", ""y"": " &amp; TRIM(INDEX(_xlfn.TEXTSPLIT(D25,","),2)) &amp;
", ""z"": " &amp; C25 &amp; " }"</f>
        <v>{ "x": 1.5, "y": 1.5, "z": 0 }</v>
      </c>
      <c r="H25" s="70" t="s">
        <v>230</v>
      </c>
    </row>
    <row r="26" customFormat="false" ht="13.8" hidden="false" customHeight="false" outlineLevel="0" collapsed="false">
      <c r="A26" s="50" t="n">
        <v>1</v>
      </c>
      <c r="B26" s="50" t="s">
        <v>208</v>
      </c>
      <c r="C26" s="50" t="n">
        <v>0</v>
      </c>
      <c r="D26" s="50" t="s">
        <v>231</v>
      </c>
      <c r="E26" s="50" t="n">
        <v>1</v>
      </c>
      <c r="F26" s="50" t="str">
        <f aca="false">"{ ""x"": " &amp; TRIM(INDEX(_xlfn.TEXTSPLIT(D26,","),1)) &amp;
", ""y"": " &amp; TRIM(INDEX(_xlfn.TEXTSPLIT(D26,","),2)) &amp;
", ""z"": " &amp; C26 &amp; " }"</f>
        <v>{ "x": -550, "y": 200, "z": 0 }</v>
      </c>
      <c r="H26" s="67" t="s">
        <v>232</v>
      </c>
    </row>
    <row r="27" customFormat="false" ht="13.8" hidden="false" customHeight="false" outlineLevel="0" collapsed="false">
      <c r="A27" s="50" t="n">
        <v>1</v>
      </c>
      <c r="B27" s="50" t="s">
        <v>208</v>
      </c>
      <c r="C27" s="50" t="n">
        <v>0</v>
      </c>
      <c r="D27" s="50" t="s">
        <v>233</v>
      </c>
      <c r="E27" s="50" t="n">
        <v>2</v>
      </c>
      <c r="F27" s="50" t="str">
        <f aca="false">"{ ""x"": " &amp; TRIM(INDEX(_xlfn.TEXTSPLIT(D27,","),1)) &amp;
", ""y"": " &amp; TRIM(INDEX(_xlfn.TEXTSPLIT(D27,","),2)) &amp;
", ""z"": " &amp; C27 &amp; " }"</f>
        <v>{ "x": -550, "y": -100, "z": 0 }</v>
      </c>
      <c r="H27" s="67" t="s">
        <v>234</v>
      </c>
    </row>
    <row r="28" customFormat="false" ht="13.8" hidden="false" customHeight="false" outlineLevel="0" collapsed="false">
      <c r="A28" s="50" t="n">
        <v>2</v>
      </c>
      <c r="B28" s="50" t="s">
        <v>208</v>
      </c>
      <c r="C28" s="50" t="n">
        <v>0</v>
      </c>
      <c r="D28" s="50" t="s">
        <v>235</v>
      </c>
      <c r="E28" s="50" t="n">
        <v>3</v>
      </c>
      <c r="F28" s="50" t="str">
        <f aca="false">"{ ""x"": " &amp; TRIM(INDEX(_xlfn.TEXTSPLIT(D28,","),1)) &amp;
", ""y"": " &amp; TRIM(INDEX(_xlfn.TEXTSPLIT(D28,","),2)) &amp;
", ""z"": " &amp; C28 &amp; " }"</f>
        <v>{ "x": -175, "y": 275, "z": 0 }</v>
      </c>
      <c r="H28" s="67" t="s">
        <v>236</v>
      </c>
    </row>
    <row r="29" customFormat="false" ht="13.8" hidden="false" customHeight="false" outlineLevel="0" collapsed="false">
      <c r="A29" s="50" t="n">
        <v>2</v>
      </c>
      <c r="B29" s="50" t="s">
        <v>208</v>
      </c>
      <c r="C29" s="50" t="n">
        <v>0</v>
      </c>
      <c r="D29" s="50" t="s">
        <v>237</v>
      </c>
      <c r="E29" s="50" t="n">
        <v>4</v>
      </c>
      <c r="F29" s="50" t="str">
        <f aca="false">"{ ""x"": " &amp; TRIM(INDEX(_xlfn.TEXTSPLIT(D29,","),1)) &amp;
", ""y"": " &amp; TRIM(INDEX(_xlfn.TEXTSPLIT(D29,","),2)) &amp;
", ""z"": " &amp; C29 &amp; " }"</f>
        <v>{ "x": 225, "y": 25, "z": 0 }</v>
      </c>
      <c r="H29" s="70" t="s">
        <v>238</v>
      </c>
    </row>
    <row r="30" customFormat="false" ht="13.8" hidden="false" customHeight="false" outlineLevel="0" collapsed="false">
      <c r="A30" s="50" t="n">
        <v>3</v>
      </c>
      <c r="B30" s="50" t="s">
        <v>208</v>
      </c>
      <c r="C30" s="50" t="n">
        <v>0</v>
      </c>
      <c r="D30" s="50" t="s">
        <v>239</v>
      </c>
      <c r="E30" s="50" t="n">
        <v>4</v>
      </c>
      <c r="F30" s="50" t="str">
        <f aca="false">"{ ""x"": " &amp; TRIM(INDEX(_xlfn.TEXTSPLIT(D30,","),1)) &amp;
", ""y"": " &amp; TRIM(INDEX(_xlfn.TEXTSPLIT(D30,","),2)) &amp;
", ""z"": " &amp; C30 &amp; " }"</f>
        <v>{ "x": 575, "y": 250, "z": 0 }</v>
      </c>
      <c r="H30" s="67" t="s">
        <v>240</v>
      </c>
    </row>
    <row r="31" customFormat="false" ht="13.8" hidden="false" customHeight="false" outlineLevel="0" collapsed="false">
      <c r="A31" s="50" t="n">
        <v>3</v>
      </c>
      <c r="B31" s="50" t="s">
        <v>208</v>
      </c>
      <c r="C31" s="50" t="n">
        <v>0</v>
      </c>
      <c r="D31" s="50" t="s">
        <v>241</v>
      </c>
      <c r="E31" s="50" t="n">
        <v>4</v>
      </c>
      <c r="F31" s="50" t="str">
        <f aca="false">"{ ""x"": " &amp; TRIM(INDEX(_xlfn.TEXTSPLIT(D31,","),1)) &amp;
", ""y"": " &amp; TRIM(INDEX(_xlfn.TEXTSPLIT(D31,","),2)) &amp;
", ""z"": " &amp; C31 &amp; " }"</f>
        <v>{ "x": 575, "y": -300, "z": 0 }</v>
      </c>
      <c r="H31" s="67" t="s">
        <v>242</v>
      </c>
    </row>
    <row r="32" customFormat="false" ht="13.8" hidden="false" customHeight="false" outlineLevel="0" collapsed="false">
      <c r="A32" s="50" t="n">
        <v>3</v>
      </c>
      <c r="B32" s="50" t="s">
        <v>208</v>
      </c>
      <c r="C32" s="50" t="n">
        <v>0</v>
      </c>
      <c r="D32" s="50" t="s">
        <v>243</v>
      </c>
      <c r="E32" s="50" t="n">
        <v>4</v>
      </c>
      <c r="F32" s="50" t="str">
        <f aca="false">"{ ""x"": " &amp; TRIM(INDEX(_xlfn.TEXTSPLIT(D32,","),1)) &amp;
", ""y"": " &amp; TRIM(INDEX(_xlfn.TEXTSPLIT(D32,","),2)) &amp;
", ""z"": " &amp; C32 &amp; " }"</f>
        <v>{ "x": 225, "y": -300, "z": 0 }</v>
      </c>
      <c r="H32" s="71"/>
    </row>
    <row r="33" customFormat="false" ht="13.8" hidden="false" customHeight="false" outlineLevel="0" collapsed="false">
      <c r="A33" s="50" t="n">
        <v>3</v>
      </c>
      <c r="B33" s="50" t="s">
        <v>208</v>
      </c>
      <c r="C33" s="50" t="n">
        <v>1</v>
      </c>
      <c r="D33" s="50" t="s">
        <v>244</v>
      </c>
      <c r="E33" s="50" t="n">
        <v>9</v>
      </c>
      <c r="F33" s="50" t="str">
        <f aca="false">"{ ""x"": " &amp; TRIM(INDEX(_xlfn.TEXTSPLIT(D33,","),1)) &amp;
", ""y"": " &amp; TRIM(INDEX(_xlfn.TEXTSPLIT(D33,","),2)) &amp;
", ""z"": " &amp; C33 &amp; " }"</f>
        <v>{ "x": -500, "y": 650, "z": 1 }</v>
      </c>
      <c r="H33" s="72" t="s">
        <v>245</v>
      </c>
    </row>
    <row r="34" customFormat="false" ht="13.8" hidden="false" customHeight="false" outlineLevel="0" collapsed="false">
      <c r="A34" s="50" t="n">
        <v>3</v>
      </c>
      <c r="B34" s="50" t="s">
        <v>208</v>
      </c>
      <c r="C34" s="50" t="n">
        <v>2</v>
      </c>
      <c r="D34" s="50" t="s">
        <v>246</v>
      </c>
      <c r="E34" s="50" t="n">
        <v>9</v>
      </c>
      <c r="F34" s="50" t="str">
        <f aca="false">"{ ""x"": " &amp; TRIM(INDEX(_xlfn.TEXTSPLIT(D34,","),1)) &amp;
", ""y"": " &amp; TRIM(INDEX(_xlfn.TEXTSPLIT(D34,","),2)) &amp;
", ""z"": " &amp; C34 &amp; " }"</f>
        <v>{ "x": -1050, "y": 450, "z": 2 }</v>
      </c>
      <c r="H34" s="67" t="s">
        <v>247</v>
      </c>
    </row>
    <row r="35" customFormat="false" ht="23.9" hidden="false" customHeight="false" outlineLevel="0" collapsed="false">
      <c r="A35" s="50" t="n">
        <v>3</v>
      </c>
      <c r="B35" s="50" t="s">
        <v>208</v>
      </c>
      <c r="C35" s="50" t="n">
        <v>3</v>
      </c>
      <c r="D35" s="50" t="s">
        <v>248</v>
      </c>
      <c r="E35" s="50" t="n">
        <v>9</v>
      </c>
      <c r="F35" s="50" t="str">
        <f aca="false">"{ ""x"": " &amp; TRIM(INDEX(_xlfn.TEXTSPLIT(D35,","),1)) &amp;
", ""y"": " &amp; TRIM(INDEX(_xlfn.TEXTSPLIT(D35,","),2)) &amp;
", ""z"": " &amp; C35 &amp; " }"</f>
        <v>{ "x": -1175, "y": 125, "z": 3 }</v>
      </c>
      <c r="H35" s="67" t="s">
        <v>249</v>
      </c>
    </row>
    <row r="36" customFormat="false" ht="13.8" hidden="false" customHeight="false" outlineLevel="0" collapsed="false">
      <c r="A36" s="50" t="n">
        <v>3</v>
      </c>
      <c r="B36" s="50" t="s">
        <v>208</v>
      </c>
      <c r="C36" s="50" t="n">
        <v>4</v>
      </c>
      <c r="D36" s="50" t="s">
        <v>250</v>
      </c>
      <c r="E36" s="50" t="n">
        <v>9</v>
      </c>
      <c r="F36" s="50" t="str">
        <f aca="false">"{ ""x"": " &amp; TRIM(INDEX(_xlfn.TEXTSPLIT(D36,","),1)) &amp;
", ""y"": " &amp; TRIM(INDEX(_xlfn.TEXTSPLIT(D36,","),2)) &amp;
", ""z"": " &amp; C36 &amp; " }"</f>
        <v>{ "x": -1000, "y": -250, "z": 4 }</v>
      </c>
    </row>
    <row r="37" customFormat="false" ht="13.8" hidden="false" customHeight="false" outlineLevel="0" collapsed="false">
      <c r="A37" s="50" t="n">
        <v>3</v>
      </c>
      <c r="B37" s="50" t="s">
        <v>208</v>
      </c>
      <c r="C37" s="50" t="n">
        <v>5</v>
      </c>
      <c r="D37" s="50" t="s">
        <v>251</v>
      </c>
      <c r="E37" s="50" t="n">
        <v>9</v>
      </c>
      <c r="F37" s="50" t="str">
        <f aca="false">"{ ""x"": " &amp; TRIM(INDEX(_xlfn.TEXTSPLIT(D37,","),1)) &amp;
", ""y"": " &amp; TRIM(INDEX(_xlfn.TEXTSPLIT(D37,","),2)) &amp;
", ""z"": " &amp; C37 &amp; " }"</f>
        <v>{ "x": -550, "y": -475, "z": 5 }</v>
      </c>
    </row>
    <row r="38" customFormat="false" ht="13.8" hidden="false" customHeight="false" outlineLevel="0" collapsed="false">
      <c r="A38" s="50" t="n">
        <v>3</v>
      </c>
      <c r="B38" s="50" t="s">
        <v>208</v>
      </c>
      <c r="C38" s="50" t="n">
        <v>6</v>
      </c>
      <c r="D38" s="50" t="s">
        <v>252</v>
      </c>
      <c r="E38" s="50" t="n">
        <v>9</v>
      </c>
      <c r="F38" s="50" t="str">
        <f aca="false">"{ ""x"": " &amp; TRIM(INDEX(_xlfn.TEXTSPLIT(D38,","),1)) &amp;
", ""y"": " &amp; TRIM(INDEX(_xlfn.TEXTSPLIT(D38,","),2)) &amp;
", ""z"": " &amp; C38 &amp; " }"</f>
        <v>{ "x": 75, "y": 675, "z": 6 }</v>
      </c>
    </row>
    <row r="39" customFormat="false" ht="13.8" hidden="false" customHeight="false" outlineLevel="0" collapsed="false">
      <c r="A39" s="50" t="n">
        <v>3</v>
      </c>
      <c r="B39" s="50" t="s">
        <v>208</v>
      </c>
      <c r="C39" s="50" t="n">
        <v>7</v>
      </c>
      <c r="D39" s="50" t="s">
        <v>253</v>
      </c>
      <c r="E39" s="50" t="n">
        <v>9</v>
      </c>
      <c r="F39" s="50" t="str">
        <f aca="false">"{ ""x"": " &amp; TRIM(INDEX(_xlfn.TEXTSPLIT(D39,","),1)) &amp;
", ""y"": " &amp; TRIM(INDEX(_xlfn.TEXTSPLIT(D39,","),2)) &amp;
", ""z"": " &amp; C39 &amp; " }"</f>
        <v>{ "x": 600, "y": 550, "z": 7 }</v>
      </c>
    </row>
    <row r="40" customFormat="false" ht="13.8" hidden="false" customHeight="false" outlineLevel="0" collapsed="false">
      <c r="A40" s="50" t="n">
        <v>3</v>
      </c>
      <c r="B40" s="50" t="s">
        <v>212</v>
      </c>
      <c r="C40" s="50" t="n">
        <v>1</v>
      </c>
      <c r="D40" s="50" t="s">
        <v>254</v>
      </c>
      <c r="E40" s="50" t="n">
        <v>2</v>
      </c>
      <c r="F40" s="50" t="str">
        <f aca="false">"{ ""x"": " &amp; TRIM(INDEX(_xlfn.TEXTSPLIT(D40,","),1)) &amp;
", ""y"": " &amp; TRIM(INDEX(_xlfn.TEXTSPLIT(D40,","),2)) &amp;
", ""z"": " &amp; C40 &amp; " }"</f>
        <v>{ "x": 0, "y": 0, "z": 1 }</v>
      </c>
    </row>
    <row r="41" customFormat="false" ht="13.8" hidden="false" customHeight="false" outlineLevel="0" collapsed="false">
      <c r="A41" s="50" t="n">
        <v>3</v>
      </c>
      <c r="B41" s="50" t="s">
        <v>212</v>
      </c>
      <c r="C41" s="50" t="n">
        <v>2</v>
      </c>
      <c r="D41" s="50" t="s">
        <v>254</v>
      </c>
      <c r="E41" s="50" t="n">
        <v>2</v>
      </c>
      <c r="F41" s="50" t="str">
        <f aca="false">"{ ""x"": " &amp; TRIM(INDEX(_xlfn.TEXTSPLIT(D41,","),1)) &amp;
", ""y"": " &amp; TRIM(INDEX(_xlfn.TEXTSPLIT(D41,","),2)) &amp;
", ""z"": " &amp; C41 &amp; " }"</f>
        <v>{ "x": 0, "y": 0, "z": 2 }</v>
      </c>
    </row>
    <row r="42" customFormat="false" ht="13.8" hidden="false" customHeight="false" outlineLevel="0" collapsed="false">
      <c r="A42" s="50" t="n">
        <v>3</v>
      </c>
      <c r="B42" s="50" t="s">
        <v>212</v>
      </c>
      <c r="C42" s="50" t="n">
        <v>3</v>
      </c>
      <c r="D42" s="50" t="s">
        <v>254</v>
      </c>
      <c r="E42" s="50" t="n">
        <v>2</v>
      </c>
      <c r="F42" s="50" t="str">
        <f aca="false">"{ ""x"": " &amp; TRIM(INDEX(_xlfn.TEXTSPLIT(D42,","),1)) &amp;
", ""y"": " &amp; TRIM(INDEX(_xlfn.TEXTSPLIT(D42,","),2)) &amp;
", ""z"": " &amp; C42 &amp; " }"</f>
        <v>{ "x": 0, "y": 0, "z": 3 }</v>
      </c>
    </row>
    <row r="43" customFormat="false" ht="13.8" hidden="false" customHeight="false" outlineLevel="0" collapsed="false">
      <c r="A43" s="50" t="n">
        <v>3</v>
      </c>
      <c r="B43" s="50" t="s">
        <v>212</v>
      </c>
      <c r="C43" s="50" t="n">
        <v>4</v>
      </c>
      <c r="D43" s="50" t="s">
        <v>254</v>
      </c>
      <c r="E43" s="50" t="n">
        <v>2</v>
      </c>
      <c r="F43" s="50" t="str">
        <f aca="false">"{ ""x"": " &amp; TRIM(INDEX(_xlfn.TEXTSPLIT(D43,","),1)) &amp;
", ""y"": " &amp; TRIM(INDEX(_xlfn.TEXTSPLIT(D43,","),2)) &amp;
", ""z"": " &amp; C43 &amp; " }"</f>
        <v>{ "x": 0, "y": 0, "z": 4 }</v>
      </c>
    </row>
    <row r="44" customFormat="false" ht="13.8" hidden="false" customHeight="false" outlineLevel="0" collapsed="false">
      <c r="A44" s="50" t="n">
        <v>3</v>
      </c>
      <c r="B44" s="50" t="s">
        <v>212</v>
      </c>
      <c r="C44" s="50" t="n">
        <v>5</v>
      </c>
      <c r="D44" s="50" t="s">
        <v>254</v>
      </c>
      <c r="E44" s="50" t="n">
        <v>2</v>
      </c>
      <c r="F44" s="50" t="str">
        <f aca="false">"{ ""x"": " &amp; TRIM(INDEX(_xlfn.TEXTSPLIT(D44,","),1)) &amp;
", ""y"": " &amp; TRIM(INDEX(_xlfn.TEXTSPLIT(D44,","),2)) &amp;
", ""z"": " &amp; C44 &amp; " }"</f>
        <v>{ "x": 0, "y": 0, "z": 5 }</v>
      </c>
    </row>
    <row r="45" customFormat="false" ht="13.8" hidden="false" customHeight="false" outlineLevel="0" collapsed="false">
      <c r="A45" s="50" t="n">
        <v>3</v>
      </c>
      <c r="B45" s="50" t="s">
        <v>212</v>
      </c>
      <c r="C45" s="50" t="n">
        <v>6</v>
      </c>
      <c r="D45" s="50" t="s">
        <v>254</v>
      </c>
      <c r="E45" s="50" t="n">
        <v>2</v>
      </c>
      <c r="F45" s="50" t="str">
        <f aca="false">"{ ""x"": " &amp; TRIM(INDEX(_xlfn.TEXTSPLIT(D45,","),1)) &amp;
", ""y"": " &amp; TRIM(INDEX(_xlfn.TEXTSPLIT(D45,","),2)) &amp;
", ""z"": " &amp; C45 &amp; " }"</f>
        <v>{ "x": 0, "y": 0, "z": 6 }</v>
      </c>
    </row>
    <row r="46" customFormat="false" ht="13.8" hidden="false" customHeight="false" outlineLevel="0" collapsed="false">
      <c r="A46" s="50" t="n">
        <v>3</v>
      </c>
      <c r="B46" s="50" t="s">
        <v>212</v>
      </c>
      <c r="C46" s="50" t="n">
        <v>7</v>
      </c>
      <c r="D46" s="50" t="s">
        <v>254</v>
      </c>
      <c r="E46" s="50" t="n">
        <v>2</v>
      </c>
      <c r="F46" s="50" t="str">
        <f aca="false">"{ ""x"": " &amp; TRIM(INDEX(_xlfn.TEXTSPLIT(D46,","),1)) &amp;
", ""y"": " &amp; TRIM(INDEX(_xlfn.TEXTSPLIT(D46,","),2)) &amp;
", ""z"": " &amp; C46 &amp; " }"</f>
        <v>{ "x": 0, "y": 0, "z": 7 }</v>
      </c>
    </row>
    <row r="47" customFormat="false" ht="13.8" hidden="false" customHeight="false" outlineLevel="0" collapsed="false">
      <c r="A47" s="50" t="n">
        <v>3</v>
      </c>
      <c r="B47" s="50" t="s">
        <v>225</v>
      </c>
      <c r="C47" s="50" t="n">
        <v>0</v>
      </c>
      <c r="D47" s="50" t="s">
        <v>255</v>
      </c>
      <c r="E47" s="50" t="n">
        <v>100</v>
      </c>
      <c r="F47" s="50" t="str">
        <f aca="false">"{ ""x"": " &amp; TRIM(INDEX(_xlfn.TEXTSPLIT(D47,","),1)) &amp;
", ""y"": " &amp; TRIM(INDEX(_xlfn.TEXTSPLIT(D47,","),2)) &amp;
", ""z"": " &amp; C47 &amp; " }"</f>
        <v>{ "x": 0.8, "y": 0.8, "z": 0 }</v>
      </c>
    </row>
    <row r="48" customFormat="false" ht="13.8" hidden="false" customHeight="false" outlineLevel="0" collapsed="false">
      <c r="A48" s="50" t="n">
        <v>4</v>
      </c>
      <c r="B48" s="50" t="s">
        <v>225</v>
      </c>
      <c r="C48" s="50" t="n">
        <v>0</v>
      </c>
      <c r="D48" s="50" t="s">
        <v>255</v>
      </c>
      <c r="E48" s="50" t="n">
        <v>100</v>
      </c>
      <c r="F48" s="50" t="str">
        <f aca="false">"{ ""x"": " &amp; TRIM(INDEX(_xlfn.TEXTSPLIT(D48,","),1)) &amp;
", ""y"": " &amp; TRIM(INDEX(_xlfn.TEXTSPLIT(D48,","),2)) &amp;
", ""z"": " &amp; C48 &amp; " }"</f>
        <v>{ "x": 0.8, "y": 0.8, "z": 0 }</v>
      </c>
    </row>
    <row r="49" customFormat="false" ht="13.8" hidden="false" customHeight="false" outlineLevel="0" collapsed="false">
      <c r="A49" s="46" t="s">
        <v>113</v>
      </c>
      <c r="B49" s="46"/>
      <c r="C49" s="46"/>
      <c r="D49" s="46"/>
      <c r="E49" s="46"/>
      <c r="F49" s="46"/>
    </row>
    <row r="54" customFormat="false" ht="13.8" hidden="false" customHeight="false" outlineLevel="0" collapsed="false">
      <c r="A54" s="59" t="s">
        <v>114</v>
      </c>
    </row>
    <row r="55" customFormat="false" ht="13.8" hidden="false" customHeight="false" outlineLevel="0" collapsed="false">
      <c r="A55" s="44" t="s">
        <v>137</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true" showOutlineSymbols="true" defaultGridColor="true" view="normal" topLeftCell="F1" colorId="64" zoomScale="100" zoomScaleNormal="100" zoomScalePageLayoutView="100" workbookViewId="0">
      <selection pane="topLeft" activeCell="P10" activeCellId="0" sqref="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256</v>
      </c>
      <c r="D4" s="47" t="s">
        <v>160</v>
      </c>
      <c r="E4" s="47" t="s">
        <v>257</v>
      </c>
      <c r="F4" s="47" t="s">
        <v>258</v>
      </c>
      <c r="G4" s="73" t="s">
        <v>259</v>
      </c>
      <c r="H4" s="74" t="s">
        <v>260</v>
      </c>
      <c r="I4" s="75" t="s">
        <v>261</v>
      </c>
      <c r="J4" s="75" t="s">
        <v>262</v>
      </c>
      <c r="K4" s="75" t="s">
        <v>262</v>
      </c>
      <c r="L4" s="75" t="s">
        <v>24</v>
      </c>
      <c r="M4" s="47" t="s">
        <v>263</v>
      </c>
      <c r="N4" s="47" t="s">
        <v>264</v>
      </c>
      <c r="O4" s="75" t="s">
        <v>265</v>
      </c>
      <c r="P4" s="75" t="s">
        <v>266</v>
      </c>
      <c r="Q4" s="61" t="s">
        <v>24</v>
      </c>
      <c r="R4" s="61" t="s">
        <v>261</v>
      </c>
      <c r="S4" s="61" t="s">
        <v>265</v>
      </c>
      <c r="T4" s="61" t="s">
        <v>266</v>
      </c>
    </row>
    <row r="5" customFormat="false" ht="13.8" hidden="false" customHeight="false" outlineLevel="0" collapsed="false">
      <c r="A5" s="49" t="s">
        <v>162</v>
      </c>
      <c r="B5" s="49" t="s">
        <v>163</v>
      </c>
      <c r="C5" s="49" t="s">
        <v>267</v>
      </c>
      <c r="D5" s="49" t="s">
        <v>164</v>
      </c>
      <c r="E5" s="49" t="s">
        <v>268</v>
      </c>
      <c r="F5" s="49" t="s">
        <v>269</v>
      </c>
      <c r="G5" s="49"/>
      <c r="H5" s="49" t="s">
        <v>270</v>
      </c>
      <c r="I5" s="49"/>
      <c r="J5" s="49"/>
      <c r="K5" s="49"/>
      <c r="L5" s="49"/>
      <c r="M5" s="49" t="s">
        <v>271</v>
      </c>
      <c r="N5" s="49" t="s">
        <v>134</v>
      </c>
      <c r="O5" s="49"/>
      <c r="P5" s="49"/>
      <c r="Q5" s="49" t="s">
        <v>272</v>
      </c>
      <c r="R5" s="49" t="s">
        <v>273</v>
      </c>
      <c r="S5" s="49" t="s">
        <v>274</v>
      </c>
      <c r="T5" s="49" t="s">
        <v>275</v>
      </c>
    </row>
    <row r="6" customFormat="false" ht="31.15" hidden="false" customHeight="false" outlineLevel="0" collapsed="false">
      <c r="A6" s="50" t="n">
        <v>1</v>
      </c>
      <c r="B6" s="50" t="n">
        <v>1</v>
      </c>
      <c r="C6" s="76" t="s">
        <v>276</v>
      </c>
      <c r="D6" s="77" t="s">
        <v>277</v>
      </c>
      <c r="E6" s="77" t="s">
        <v>278</v>
      </c>
      <c r="F6" s="50" t="s">
        <v>136</v>
      </c>
      <c r="G6" s="50" t="s">
        <v>279</v>
      </c>
      <c r="H6" s="50" t="n">
        <f aca="true">OFFSET(依頼主!$A$1,MATCH(G6,依頼主!B:B,0)-1,0)</f>
        <v>12</v>
      </c>
      <c r="I6" s="50" t="s">
        <v>124</v>
      </c>
      <c r="J6" s="50"/>
      <c r="K6" s="50"/>
      <c r="L6" s="50" t="s">
        <v>280</v>
      </c>
      <c r="M6" s="50" t="n">
        <v>1</v>
      </c>
      <c r="N6" s="50" t="s">
        <v>136</v>
      </c>
      <c r="O6" s="50" t="s">
        <v>281</v>
      </c>
      <c r="P6" s="50" t="s">
        <v>281</v>
      </c>
      <c r="Q6" s="50" t="n">
        <f aca="true">OFFSET(依頼種別!$A$1, MATCH(L6,依頼種別!B:B,0)-1,0)</f>
        <v>9</v>
      </c>
      <c r="R6" s="78"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6" t="s">
        <v>282</v>
      </c>
      <c r="D7" s="77" t="s">
        <v>283</v>
      </c>
      <c r="E7" s="77" t="s">
        <v>284</v>
      </c>
      <c r="F7" s="50" t="s">
        <v>136</v>
      </c>
      <c r="G7" s="50" t="s">
        <v>285</v>
      </c>
      <c r="H7" s="50" t="n">
        <f aca="true">OFFSET(依頼主!$A$1,MATCH(G7,依頼主!B:B,0)-1,0)</f>
        <v>3</v>
      </c>
      <c r="I7" s="50" t="s">
        <v>125</v>
      </c>
      <c r="J7" s="50"/>
      <c r="K7" s="50"/>
      <c r="L7" s="50" t="s">
        <v>280</v>
      </c>
      <c r="M7" s="50" t="n">
        <v>1</v>
      </c>
      <c r="N7" s="50" t="s">
        <v>136</v>
      </c>
      <c r="O7" s="50" t="s">
        <v>281</v>
      </c>
      <c r="P7" s="50" t="s">
        <v>281</v>
      </c>
      <c r="Q7" s="50" t="n">
        <f aca="true">OFFSET(依頼種別!$A$1, MATCH(L7,依頼種別!B:B,0)-1,0)</f>
        <v>9</v>
      </c>
      <c r="R7" s="78"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6" t="s">
        <v>286</v>
      </c>
      <c r="D8" s="77" t="s">
        <v>287</v>
      </c>
      <c r="E8" s="77" t="s">
        <v>288</v>
      </c>
      <c r="F8" s="50" t="s">
        <v>136</v>
      </c>
      <c r="G8" s="50" t="s">
        <v>289</v>
      </c>
      <c r="H8" s="50" t="n">
        <f aca="true">OFFSET(依頼主!$A$1,MATCH(G8,依頼主!B:B,0)-1,0)</f>
        <v>8</v>
      </c>
      <c r="I8" s="50" t="s">
        <v>125</v>
      </c>
      <c r="J8" s="50"/>
      <c r="K8" s="50"/>
      <c r="L8" s="50" t="s">
        <v>280</v>
      </c>
      <c r="M8" s="50" t="n">
        <v>12</v>
      </c>
      <c r="N8" s="50" t="s">
        <v>136</v>
      </c>
      <c r="O8" s="50" t="s">
        <v>290</v>
      </c>
      <c r="P8" s="50" t="s">
        <v>281</v>
      </c>
      <c r="Q8" s="50" t="n">
        <f aca="true">OFFSET(依頼種別!$A$1, MATCH(L8,依頼種別!B:B,0)-1,0)</f>
        <v>9</v>
      </c>
      <c r="R8" s="78"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6" t="s">
        <v>291</v>
      </c>
      <c r="D9" s="77" t="s">
        <v>292</v>
      </c>
      <c r="E9" s="77" t="s">
        <v>293</v>
      </c>
      <c r="F9" s="50" t="s">
        <v>136</v>
      </c>
      <c r="G9" s="50" t="s">
        <v>279</v>
      </c>
      <c r="H9" s="50" t="n">
        <f aca="true">OFFSET(依頼主!$A$1,MATCH(G9,依頼主!B:B,0)-1,0)</f>
        <v>12</v>
      </c>
      <c r="I9" s="50" t="s">
        <v>124</v>
      </c>
      <c r="J9" s="50"/>
      <c r="K9" s="50"/>
      <c r="L9" s="50" t="s">
        <v>294</v>
      </c>
      <c r="M9" s="50" t="n">
        <v>1</v>
      </c>
      <c r="N9" s="50" t="n">
        <v>2</v>
      </c>
      <c r="O9" s="50" t="s">
        <v>295</v>
      </c>
      <c r="P9" s="50" t="s">
        <v>281</v>
      </c>
      <c r="Q9" s="50" t="n">
        <f aca="true">OFFSET(依頼種別!$A$1, MATCH(L9,依頼種別!B:B,0)-1,0)</f>
        <v>4</v>
      </c>
      <c r="R9" s="78"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6" t="s">
        <v>296</v>
      </c>
      <c r="D10" s="77" t="s">
        <v>297</v>
      </c>
      <c r="E10" s="77" t="s">
        <v>298</v>
      </c>
      <c r="F10" s="50" t="s">
        <v>136</v>
      </c>
      <c r="G10" s="50" t="s">
        <v>299</v>
      </c>
      <c r="H10" s="50" t="n">
        <f aca="true">OFFSET(依頼主!$A$1,MATCH(G10,依頼主!B:B,0)-1,0)</f>
        <v>6</v>
      </c>
      <c r="I10" s="50" t="s">
        <v>130</v>
      </c>
      <c r="J10" s="50"/>
      <c r="K10" s="50"/>
      <c r="L10" s="50" t="s">
        <v>300</v>
      </c>
      <c r="M10" s="50" t="n">
        <v>0</v>
      </c>
      <c r="N10" s="50" t="s">
        <v>136</v>
      </c>
      <c r="O10" s="50" t="s">
        <v>301</v>
      </c>
      <c r="P10" s="50" t="s">
        <v>281</v>
      </c>
      <c r="Q10" s="50" t="n">
        <f aca="true">OFFSET(依頼種別!$A$1, MATCH(L10,依頼種別!B:B,0)-1,0)</f>
        <v>8</v>
      </c>
      <c r="R10" s="78"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6" t="s">
        <v>302</v>
      </c>
      <c r="D11" s="77" t="s">
        <v>303</v>
      </c>
      <c r="E11" s="77" t="s">
        <v>304</v>
      </c>
      <c r="F11" s="50" t="s">
        <v>136</v>
      </c>
      <c r="G11" s="50" t="s">
        <v>305</v>
      </c>
      <c r="H11" s="50" t="n">
        <f aca="true">OFFSET(依頼主!$A$1,MATCH(G11,依頼主!B:B,0)-1,0)</f>
        <v>9</v>
      </c>
      <c r="I11" s="50" t="s">
        <v>125</v>
      </c>
      <c r="J11" s="50"/>
      <c r="K11" s="50"/>
      <c r="L11" s="50" t="s">
        <v>294</v>
      </c>
      <c r="M11" s="50" t="n">
        <v>4</v>
      </c>
      <c r="N11" s="50" t="n">
        <v>2</v>
      </c>
      <c r="O11" s="50" t="s">
        <v>281</v>
      </c>
      <c r="P11" s="50" t="s">
        <v>281</v>
      </c>
      <c r="Q11" s="50" t="n">
        <f aca="true">OFFSET(依頼種別!$A$1, MATCH(L11,依頼種別!B:B,0)-1,0)</f>
        <v>4</v>
      </c>
      <c r="R11" s="78"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6" t="s">
        <v>306</v>
      </c>
      <c r="D12" s="77" t="s">
        <v>307</v>
      </c>
      <c r="E12" s="77" t="s">
        <v>308</v>
      </c>
      <c r="F12" s="50" t="s">
        <v>136</v>
      </c>
      <c r="G12" s="50" t="s">
        <v>279</v>
      </c>
      <c r="H12" s="50" t="n">
        <f aca="true">OFFSET(依頼主!$A$1,MATCH(G12,依頼主!B:B,0)-1,0)</f>
        <v>12</v>
      </c>
      <c r="I12" s="50" t="s">
        <v>124</v>
      </c>
      <c r="J12" s="50"/>
      <c r="K12" s="50"/>
      <c r="L12" s="50" t="s">
        <v>294</v>
      </c>
      <c r="M12" s="50" t="n">
        <v>2</v>
      </c>
      <c r="N12" s="50" t="n">
        <v>3</v>
      </c>
      <c r="O12" s="50" t="s">
        <v>281</v>
      </c>
      <c r="P12" s="50" t="s">
        <v>281</v>
      </c>
      <c r="Q12" s="50" t="n">
        <f aca="true">OFFSET(依頼種別!$A$1, MATCH(L12,依頼種別!B:B,0)-1,0)</f>
        <v>4</v>
      </c>
      <c r="R12" s="78"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309</v>
      </c>
      <c r="D13" s="77" t="s">
        <v>310</v>
      </c>
      <c r="E13" s="77" t="s">
        <v>311</v>
      </c>
      <c r="F13" s="50" t="s">
        <v>136</v>
      </c>
      <c r="G13" s="50" t="s">
        <v>312</v>
      </c>
      <c r="H13" s="50" t="n">
        <f aca="true">OFFSET(依頼主!$A$1,MATCH(G13,依頼主!B:B,0)-1,0)</f>
        <v>1</v>
      </c>
      <c r="I13" s="50" t="s">
        <v>122</v>
      </c>
      <c r="J13" s="50" t="s">
        <v>123</v>
      </c>
      <c r="K13" s="50"/>
      <c r="L13" s="50" t="s">
        <v>280</v>
      </c>
      <c r="M13" s="50" t="n">
        <v>20</v>
      </c>
      <c r="N13" s="50" t="s">
        <v>136</v>
      </c>
      <c r="O13" s="50" t="s">
        <v>281</v>
      </c>
      <c r="P13" s="50" t="s">
        <v>281</v>
      </c>
      <c r="Q13" s="50" t="n">
        <f aca="true">OFFSET(依頼種別!$A$1, MATCH(L13,依頼種別!B:B,0)-1,0)</f>
        <v>9</v>
      </c>
      <c r="R13" s="78"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6" t="s">
        <v>313</v>
      </c>
      <c r="D14" s="77" t="s">
        <v>314</v>
      </c>
      <c r="E14" s="77" t="s">
        <v>315</v>
      </c>
      <c r="F14" s="50" t="s">
        <v>136</v>
      </c>
      <c r="G14" s="50" t="s">
        <v>289</v>
      </c>
      <c r="H14" s="50" t="n">
        <f aca="true">OFFSET(依頼主!$A$1,MATCH(G14,依頼主!B:B,0)-1,0)</f>
        <v>8</v>
      </c>
      <c r="I14" s="50" t="s">
        <v>127</v>
      </c>
      <c r="J14" s="50"/>
      <c r="K14" s="50"/>
      <c r="L14" s="50" t="s">
        <v>294</v>
      </c>
      <c r="M14" s="50" t="n">
        <v>3</v>
      </c>
      <c r="N14" s="50" t="n">
        <v>3</v>
      </c>
      <c r="O14" s="50" t="s">
        <v>301</v>
      </c>
      <c r="P14" s="50" t="s">
        <v>281</v>
      </c>
      <c r="Q14" s="50" t="n">
        <f aca="true">OFFSET(依頼種別!$A$1, MATCH(L14,依頼種別!B:B,0)-1,0)</f>
        <v>4</v>
      </c>
      <c r="R14" s="78"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6" t="s">
        <v>316</v>
      </c>
      <c r="D15" s="77" t="s">
        <v>317</v>
      </c>
      <c r="E15" s="77" t="s">
        <v>318</v>
      </c>
      <c r="F15" s="50" t="s">
        <v>136</v>
      </c>
      <c r="G15" s="50" t="s">
        <v>279</v>
      </c>
      <c r="H15" s="50" t="n">
        <f aca="true">OFFSET(依頼主!$A$1,MATCH(G15,依頼主!B:B,0)-1,0)</f>
        <v>12</v>
      </c>
      <c r="I15" s="50" t="s">
        <v>124</v>
      </c>
      <c r="J15" s="50"/>
      <c r="K15" s="50"/>
      <c r="L15" s="50" t="s">
        <v>294</v>
      </c>
      <c r="M15" s="50" t="n">
        <v>2</v>
      </c>
      <c r="N15" s="50" t="n">
        <v>4</v>
      </c>
      <c r="O15" s="50" t="s">
        <v>319</v>
      </c>
      <c r="P15" s="50" t="s">
        <v>281</v>
      </c>
      <c r="Q15" s="50" t="n">
        <f aca="true">OFFSET(依頼種別!$A$1, MATCH(L15,依頼種別!B:B,0)-1,0)</f>
        <v>4</v>
      </c>
      <c r="R15" s="78"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6" t="s">
        <v>320</v>
      </c>
      <c r="D16" s="77" t="s">
        <v>321</v>
      </c>
      <c r="E16" s="77" t="s">
        <v>322</v>
      </c>
      <c r="F16" s="50" t="s">
        <v>136</v>
      </c>
      <c r="G16" s="50" t="s">
        <v>299</v>
      </c>
      <c r="H16" s="50" t="n">
        <f aca="true">OFFSET(依頼主!$A$1,MATCH(G16,依頼主!B:B,0)-1,0)</f>
        <v>6</v>
      </c>
      <c r="I16" s="50" t="s">
        <v>128</v>
      </c>
      <c r="J16" s="50"/>
      <c r="K16" s="50"/>
      <c r="L16" s="50" t="s">
        <v>294</v>
      </c>
      <c r="M16" s="50" t="n">
        <v>2</v>
      </c>
      <c r="N16" s="50" t="n">
        <v>2</v>
      </c>
      <c r="O16" s="50" t="s">
        <v>281</v>
      </c>
      <c r="P16" s="50" t="s">
        <v>281</v>
      </c>
      <c r="Q16" s="50" t="n">
        <f aca="true">OFFSET(依頼種別!$A$1, MATCH(L16,依頼種別!B:B,0)-1,0)</f>
        <v>4</v>
      </c>
      <c r="R16" s="78"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6" t="s">
        <v>323</v>
      </c>
      <c r="D17" s="77" t="s">
        <v>324</v>
      </c>
      <c r="E17" s="77" t="s">
        <v>325</v>
      </c>
      <c r="F17" s="50" t="s">
        <v>136</v>
      </c>
      <c r="G17" s="50" t="s">
        <v>326</v>
      </c>
      <c r="H17" s="50" t="n">
        <f aca="true">OFFSET(依頼主!$A$1,MATCH(G17,依頼主!B:B,0)-1,0)</f>
        <v>5</v>
      </c>
      <c r="I17" s="50" t="s">
        <v>125</v>
      </c>
      <c r="J17" s="50"/>
      <c r="K17" s="50"/>
      <c r="L17" s="50" t="s">
        <v>294</v>
      </c>
      <c r="M17" s="50" t="n">
        <v>4</v>
      </c>
      <c r="N17" s="50" t="n">
        <v>4</v>
      </c>
      <c r="O17" s="50" t="s">
        <v>281</v>
      </c>
      <c r="P17" s="50" t="s">
        <v>281</v>
      </c>
      <c r="Q17" s="50" t="n">
        <f aca="true">OFFSET(依頼種別!$A$1, MATCH(L17,依頼種別!B:B,0)-1,0)</f>
        <v>4</v>
      </c>
      <c r="R17" s="78"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6" t="s">
        <v>327</v>
      </c>
      <c r="D18" s="77" t="s">
        <v>328</v>
      </c>
      <c r="E18" s="77" t="s">
        <v>329</v>
      </c>
      <c r="F18" s="50" t="n">
        <v>1</v>
      </c>
      <c r="G18" s="50" t="s">
        <v>279</v>
      </c>
      <c r="H18" s="50" t="n">
        <f aca="true">OFFSET(依頼主!$A$1,MATCH(G18,依頼主!B:B,0)-1,0)</f>
        <v>12</v>
      </c>
      <c r="I18" s="50" t="s">
        <v>124</v>
      </c>
      <c r="J18" s="50"/>
      <c r="K18" s="50"/>
      <c r="L18" s="50" t="s">
        <v>330</v>
      </c>
      <c r="M18" s="50" t="s">
        <v>136</v>
      </c>
      <c r="N18" s="50" t="s">
        <v>136</v>
      </c>
      <c r="O18" s="50" t="s">
        <v>331</v>
      </c>
      <c r="P18" s="50" t="s">
        <v>281</v>
      </c>
      <c r="Q18" s="50" t="n">
        <f aca="true">OFFSET(依頼種別!$A$1, MATCH(L18,依頼種別!B:B,0)-1,0)</f>
        <v>1</v>
      </c>
      <c r="R18" s="78"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6" t="s">
        <v>332</v>
      </c>
      <c r="D19" s="77" t="s">
        <v>333</v>
      </c>
      <c r="E19" s="77" t="s">
        <v>334</v>
      </c>
      <c r="F19" s="50" t="n">
        <v>1</v>
      </c>
      <c r="G19" s="50" t="s">
        <v>335</v>
      </c>
      <c r="H19" s="50" t="n">
        <f aca="true">OFFSET(依頼主!$A$1,MATCH(G19,依頼主!B:B,0)-1,0)</f>
        <v>13</v>
      </c>
      <c r="I19" s="50" t="s">
        <v>127</v>
      </c>
      <c r="J19" s="50"/>
      <c r="K19" s="50"/>
      <c r="L19" s="50" t="s">
        <v>330</v>
      </c>
      <c r="M19" s="50" t="s">
        <v>136</v>
      </c>
      <c r="N19" s="50" t="s">
        <v>136</v>
      </c>
      <c r="O19" s="50" t="s">
        <v>336</v>
      </c>
      <c r="P19" s="50" t="s">
        <v>281</v>
      </c>
      <c r="Q19" s="50" t="n">
        <f aca="true">OFFSET(依頼種別!$A$1, MATCH(L19,依頼種別!B:B,0)-1,0)</f>
        <v>1</v>
      </c>
      <c r="R19" s="78"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6" t="s">
        <v>337</v>
      </c>
      <c r="D20" s="77" t="s">
        <v>338</v>
      </c>
      <c r="E20" s="77" t="s">
        <v>339</v>
      </c>
      <c r="F20" s="50" t="n">
        <v>1</v>
      </c>
      <c r="G20" s="50" t="s">
        <v>299</v>
      </c>
      <c r="H20" s="50" t="n">
        <f aca="true">OFFSET(依頼主!$A$1,MATCH(G20,依頼主!B:B,0)-1,0)</f>
        <v>6</v>
      </c>
      <c r="I20" s="50" t="s">
        <v>128</v>
      </c>
      <c r="J20" s="50"/>
      <c r="K20" s="50"/>
      <c r="L20" s="50" t="s">
        <v>330</v>
      </c>
      <c r="M20" s="50" t="s">
        <v>136</v>
      </c>
      <c r="N20" s="50" t="s">
        <v>136</v>
      </c>
      <c r="O20" s="50" t="s">
        <v>340</v>
      </c>
      <c r="P20" s="50" t="s">
        <v>281</v>
      </c>
      <c r="Q20" s="50" t="n">
        <f aca="true">OFFSET(依頼種別!$A$1, MATCH(L20,依頼種別!B:B,0)-1,0)</f>
        <v>1</v>
      </c>
      <c r="R20" s="78"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6" t="s">
        <v>341</v>
      </c>
      <c r="D21" s="77" t="s">
        <v>342</v>
      </c>
      <c r="E21" s="77" t="s">
        <v>343</v>
      </c>
      <c r="F21" s="50" t="s">
        <v>136</v>
      </c>
      <c r="G21" s="50" t="s">
        <v>344</v>
      </c>
      <c r="H21" s="50" t="n">
        <f aca="true">OFFSET(依頼主!$A$1,MATCH(G21,依頼主!B:B,0)-1,0)</f>
        <v>11</v>
      </c>
      <c r="I21" s="50"/>
      <c r="J21" s="50"/>
      <c r="K21" s="50"/>
      <c r="L21" s="50" t="s">
        <v>345</v>
      </c>
      <c r="M21" s="50" t="n">
        <v>1000</v>
      </c>
      <c r="N21" s="50" t="s">
        <v>136</v>
      </c>
      <c r="O21" s="50" t="s">
        <v>281</v>
      </c>
      <c r="P21" s="50" t="s">
        <v>281</v>
      </c>
      <c r="Q21" s="50" t="n">
        <f aca="true">OFFSET(依頼種別!$A$1, MATCH(L21,依頼種別!B:B,0)-1,0)</f>
        <v>10</v>
      </c>
      <c r="R21" s="78"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6" t="s">
        <v>346</v>
      </c>
      <c r="D22" s="77" t="s">
        <v>347</v>
      </c>
      <c r="E22" s="77" t="s">
        <v>348</v>
      </c>
      <c r="F22" s="50" t="s">
        <v>136</v>
      </c>
      <c r="G22" s="50" t="s">
        <v>349</v>
      </c>
      <c r="H22" s="50" t="n">
        <f aca="true">OFFSET(依頼主!$A$1,MATCH(G22,依頼主!B:B,0)-1,0)</f>
        <v>7</v>
      </c>
      <c r="I22" s="50"/>
      <c r="J22" s="50"/>
      <c r="K22" s="50"/>
      <c r="L22" s="50" t="s">
        <v>294</v>
      </c>
      <c r="M22" s="50" t="n">
        <v>4</v>
      </c>
      <c r="N22" s="50" t="n">
        <v>5</v>
      </c>
      <c r="O22" s="50" t="s">
        <v>281</v>
      </c>
      <c r="P22" s="50" t="s">
        <v>281</v>
      </c>
      <c r="Q22" s="50" t="n">
        <f aca="true">OFFSET(依頼種別!$A$1, MATCH(L22,依頼種別!B:B,0)-1,0)</f>
        <v>4</v>
      </c>
      <c r="R22" s="78"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350</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330</v>
      </c>
      <c r="C6" s="50" t="s">
        <v>351</v>
      </c>
    </row>
    <row r="7" customFormat="false" ht="12.75" hidden="false" customHeight="false" outlineLevel="0" collapsed="false">
      <c r="A7" s="50" t="n">
        <v>2</v>
      </c>
      <c r="B7" s="50" t="s">
        <v>352</v>
      </c>
      <c r="C7" s="50" t="s">
        <v>353</v>
      </c>
    </row>
    <row r="8" customFormat="false" ht="12.75" hidden="false" customHeight="false" outlineLevel="0" collapsed="false">
      <c r="A8" s="50" t="n">
        <v>3</v>
      </c>
      <c r="B8" s="50" t="s">
        <v>354</v>
      </c>
      <c r="C8" s="50" t="s">
        <v>355</v>
      </c>
    </row>
    <row r="9" customFormat="false" ht="12.75" hidden="false" customHeight="false" outlineLevel="0" collapsed="false">
      <c r="A9" s="50" t="n">
        <v>4</v>
      </c>
      <c r="B9" s="50" t="s">
        <v>294</v>
      </c>
      <c r="C9" s="50" t="s">
        <v>356</v>
      </c>
    </row>
    <row r="10" customFormat="false" ht="12.75" hidden="false" customHeight="false" outlineLevel="0" collapsed="false">
      <c r="A10" s="50" t="n">
        <v>5</v>
      </c>
      <c r="B10" s="50" t="s">
        <v>357</v>
      </c>
      <c r="C10" s="50" t="s">
        <v>358</v>
      </c>
    </row>
    <row r="11" customFormat="false" ht="12.75" hidden="false" customHeight="false" outlineLevel="0" collapsed="false">
      <c r="A11" s="50" t="n">
        <v>6</v>
      </c>
      <c r="B11" s="50" t="s">
        <v>359</v>
      </c>
      <c r="C11" s="50" t="s">
        <v>358</v>
      </c>
    </row>
    <row r="12" customFormat="false" ht="12.75" hidden="false" customHeight="false" outlineLevel="0" collapsed="false">
      <c r="A12" s="50" t="n">
        <v>7</v>
      </c>
      <c r="B12" s="50" t="s">
        <v>360</v>
      </c>
      <c r="C12" s="50" t="s">
        <v>361</v>
      </c>
    </row>
    <row r="13" customFormat="false" ht="12.75" hidden="false" customHeight="false" outlineLevel="0" collapsed="false">
      <c r="A13" s="50" t="n">
        <v>8</v>
      </c>
      <c r="B13" s="50" t="s">
        <v>300</v>
      </c>
      <c r="C13" s="50" t="s">
        <v>362</v>
      </c>
    </row>
    <row r="14" customFormat="false" ht="12.75" hidden="false" customHeight="false" outlineLevel="0" collapsed="false">
      <c r="A14" s="50" t="n">
        <v>9</v>
      </c>
      <c r="B14" s="50" t="s">
        <v>280</v>
      </c>
      <c r="C14" s="50" t="s">
        <v>363</v>
      </c>
    </row>
    <row r="15" customFormat="false" ht="12.75" hidden="false" customHeight="false" outlineLevel="0" collapsed="false">
      <c r="A15" s="50" t="n">
        <v>10</v>
      </c>
      <c r="B15" s="50" t="s">
        <v>345</v>
      </c>
      <c r="C15" s="50" t="s">
        <v>364</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312</v>
      </c>
    </row>
    <row r="7" customFormat="false" ht="12.75" hidden="false" customHeight="false" outlineLevel="0" collapsed="false">
      <c r="A7" s="50" t="n">
        <v>2</v>
      </c>
      <c r="B7" s="50" t="s">
        <v>365</v>
      </c>
    </row>
    <row r="8" customFormat="false" ht="12.75" hidden="false" customHeight="false" outlineLevel="0" collapsed="false">
      <c r="A8" s="50" t="n">
        <v>3</v>
      </c>
      <c r="B8" s="50" t="s">
        <v>285</v>
      </c>
    </row>
    <row r="9" customFormat="false" ht="12.75" hidden="false" customHeight="false" outlineLevel="0" collapsed="false">
      <c r="A9" s="50" t="n">
        <v>4</v>
      </c>
      <c r="B9" s="50" t="s">
        <v>366</v>
      </c>
    </row>
    <row r="10" customFormat="false" ht="12.75" hidden="false" customHeight="false" outlineLevel="0" collapsed="false">
      <c r="A10" s="50" t="n">
        <v>5</v>
      </c>
      <c r="B10" s="50" t="s">
        <v>326</v>
      </c>
    </row>
    <row r="11" customFormat="false" ht="12.75" hidden="false" customHeight="false" outlineLevel="0" collapsed="false">
      <c r="A11" s="50" t="n">
        <v>6</v>
      </c>
      <c r="B11" s="50" t="s">
        <v>299</v>
      </c>
    </row>
    <row r="12" customFormat="false" ht="12.75" hidden="false" customHeight="false" outlineLevel="0" collapsed="false">
      <c r="A12" s="50" t="n">
        <v>7</v>
      </c>
      <c r="B12" s="50" t="s">
        <v>349</v>
      </c>
    </row>
    <row r="13" customFormat="false" ht="12.75" hidden="false" customHeight="false" outlineLevel="0" collapsed="false">
      <c r="A13" s="50" t="n">
        <v>8</v>
      </c>
      <c r="B13" s="50" t="s">
        <v>289</v>
      </c>
    </row>
    <row r="14" customFormat="false" ht="12.75" hidden="false" customHeight="false" outlineLevel="0" collapsed="false">
      <c r="A14" s="50" t="n">
        <v>9</v>
      </c>
      <c r="B14" s="50" t="s">
        <v>305</v>
      </c>
    </row>
    <row r="15" customFormat="false" ht="12.75" hidden="false" customHeight="false" outlineLevel="0" collapsed="false">
      <c r="A15" s="50" t="n">
        <v>10</v>
      </c>
      <c r="B15" s="50" t="s">
        <v>367</v>
      </c>
    </row>
    <row r="16" customFormat="false" ht="12.75" hidden="false" customHeight="false" outlineLevel="0" collapsed="false">
      <c r="A16" s="50" t="n">
        <v>11</v>
      </c>
      <c r="B16" s="50" t="s">
        <v>344</v>
      </c>
    </row>
    <row r="17" customFormat="false" ht="12.75" hidden="false" customHeight="false" outlineLevel="0" collapsed="false">
      <c r="A17" s="50" t="n">
        <v>12</v>
      </c>
      <c r="B17" s="50" t="s">
        <v>279</v>
      </c>
    </row>
    <row r="18" customFormat="false" ht="12.75" hidden="false" customHeight="false" outlineLevel="0" collapsed="false">
      <c r="A18" s="50" t="n">
        <v>13</v>
      </c>
      <c r="B18" s="50" t="s">
        <v>335</v>
      </c>
    </row>
    <row r="19" customFormat="false" ht="12.75" hidden="false" customHeight="false" outlineLevel="0" collapsed="false">
      <c r="A19" s="50" t="n">
        <v>14</v>
      </c>
      <c r="B19" s="50" t="s">
        <v>368</v>
      </c>
    </row>
    <row r="20" customFormat="false" ht="12.75" hidden="false" customHeight="false" outlineLevel="0" collapsed="false">
      <c r="A20" s="50" t="n">
        <v>15</v>
      </c>
      <c r="B20" s="50" t="s">
        <v>369</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5" t="s">
        <v>370</v>
      </c>
      <c r="D4" s="74" t="s">
        <v>370</v>
      </c>
      <c r="E4" s="47" t="s">
        <v>371</v>
      </c>
      <c r="F4" s="47" t="s">
        <v>372</v>
      </c>
      <c r="G4" s="75" t="s">
        <v>261</v>
      </c>
      <c r="H4" s="75" t="s">
        <v>262</v>
      </c>
      <c r="I4" s="75" t="s">
        <v>262</v>
      </c>
      <c r="J4" s="75" t="s">
        <v>373</v>
      </c>
      <c r="K4" s="74" t="s">
        <v>262</v>
      </c>
      <c r="L4" s="74" t="s">
        <v>374</v>
      </c>
      <c r="M4" s="79" t="s">
        <v>20</v>
      </c>
    </row>
    <row r="5" customFormat="false" ht="12.75" hidden="false" customHeight="false" outlineLevel="0" collapsed="false">
      <c r="A5" s="49" t="s">
        <v>101</v>
      </c>
      <c r="B5" s="49" t="s">
        <v>102</v>
      </c>
      <c r="C5" s="49"/>
      <c r="D5" s="49" t="s">
        <v>272</v>
      </c>
      <c r="E5" s="49" t="s">
        <v>375</v>
      </c>
      <c r="F5" s="49" t="s">
        <v>376</v>
      </c>
      <c r="G5" s="49"/>
      <c r="H5" s="49"/>
      <c r="I5" s="49"/>
      <c r="J5" s="49"/>
      <c r="K5" s="49" t="s">
        <v>273</v>
      </c>
      <c r="L5" s="49" t="s">
        <v>377</v>
      </c>
      <c r="M5" s="49"/>
    </row>
    <row r="6" customFormat="false" ht="12.75" hidden="false" customHeight="false" outlineLevel="0" collapsed="false">
      <c r="A6" s="50" t="n">
        <v>1</v>
      </c>
      <c r="B6" s="50" t="s">
        <v>281</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378</v>
      </c>
      <c r="C7" s="50" t="s">
        <v>379</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290</v>
      </c>
      <c r="C8" s="50" t="s">
        <v>380</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381</v>
      </c>
      <c r="C9" s="50" t="s">
        <v>380</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301</v>
      </c>
      <c r="C10" s="50" t="s">
        <v>380</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319</v>
      </c>
      <c r="C11" s="50" t="s">
        <v>380</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295</v>
      </c>
      <c r="C12" s="50" t="s">
        <v>380</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331</v>
      </c>
      <c r="C13" s="50" t="s">
        <v>382</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336</v>
      </c>
      <c r="C14" s="50" t="s">
        <v>382</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340</v>
      </c>
      <c r="C15" s="50" t="s">
        <v>382</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370</v>
      </c>
      <c r="B4" s="47" t="s">
        <v>383</v>
      </c>
      <c r="C4" s="47" t="s">
        <v>384</v>
      </c>
      <c r="D4" s="47" t="s">
        <v>385</v>
      </c>
    </row>
    <row r="5" customFormat="false" ht="12.75" hidden="false" customHeight="false" outlineLevel="0" collapsed="false">
      <c r="A5" s="49" t="s">
        <v>386</v>
      </c>
      <c r="B5" s="49" t="s">
        <v>164</v>
      </c>
      <c r="C5" s="49" t="s">
        <v>387</v>
      </c>
      <c r="D5" s="49" t="s">
        <v>388</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389</v>
      </c>
      <c r="C7" s="50" t="n">
        <v>1</v>
      </c>
      <c r="D7" s="50" t="n">
        <v>100</v>
      </c>
    </row>
    <row r="8" customFormat="false" ht="12.75" hidden="false" customHeight="false" outlineLevel="0" collapsed="false">
      <c r="A8" s="50" t="n">
        <v>3</v>
      </c>
      <c r="B8" s="50" t="s">
        <v>390</v>
      </c>
      <c r="C8" s="50" t="n">
        <v>1</v>
      </c>
      <c r="D8" s="50" t="n">
        <v>100</v>
      </c>
    </row>
    <row r="9" customFormat="false" ht="12.75" hidden="false" customHeight="false" outlineLevel="0" collapsed="false">
      <c r="A9" s="50" t="n">
        <v>4</v>
      </c>
      <c r="B9" s="50" t="s">
        <v>391</v>
      </c>
      <c r="C9" s="50" t="n">
        <v>-1</v>
      </c>
      <c r="D9" s="50" t="n">
        <v>3</v>
      </c>
    </row>
    <row r="10" customFormat="false" ht="12.75" hidden="false" customHeight="false" outlineLevel="0" collapsed="false">
      <c r="A10" s="50" t="n">
        <v>5</v>
      </c>
      <c r="B10" s="50" t="s">
        <v>382</v>
      </c>
      <c r="C10" s="50" t="n">
        <v>1</v>
      </c>
      <c r="D10" s="50" t="n">
        <v>3</v>
      </c>
    </row>
    <row r="11" customFormat="false" ht="12.75" hidden="false" customHeight="false" outlineLevel="0" collapsed="false">
      <c r="A11" s="50" t="n">
        <v>6</v>
      </c>
      <c r="B11" s="50" t="s">
        <v>392</v>
      </c>
      <c r="C11" s="50" t="n">
        <v>1</v>
      </c>
      <c r="D11" s="50" t="n">
        <v>2</v>
      </c>
    </row>
    <row r="12" customFormat="false" ht="12.75" hidden="false" customHeight="false" outlineLevel="0" collapsed="false">
      <c r="A12" s="50" t="n">
        <v>7</v>
      </c>
      <c r="B12" s="50" t="s">
        <v>393</v>
      </c>
      <c r="C12" s="50" t="n">
        <v>-1</v>
      </c>
      <c r="D12" s="50" t="n">
        <v>1</v>
      </c>
    </row>
    <row r="13" customFormat="false" ht="12.75" hidden="false" customHeight="false" outlineLevel="0" collapsed="false">
      <c r="A13" s="50" t="n">
        <v>8</v>
      </c>
      <c r="B13" s="50" t="s">
        <v>379</v>
      </c>
      <c r="C13" s="50" t="n">
        <v>0</v>
      </c>
      <c r="D13" s="50" t="n">
        <v>3</v>
      </c>
    </row>
    <row r="14" customFormat="false" ht="12.75" hidden="false" customHeight="false" outlineLevel="0" collapsed="false">
      <c r="A14" s="50" t="n">
        <v>9</v>
      </c>
      <c r="B14" s="50" t="s">
        <v>380</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114</v>
      </c>
    </row>
    <row r="21" customFormat="false" ht="13.8" hidden="false" customHeight="false" outlineLevel="0" collapsed="false">
      <c r="A21" s="44" t="s">
        <v>394</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1AFF65DC-C5AC-4E57-BCE2-E0DD96AFC1A9}">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268</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2026-02-23T14:07:59Z</dcterms:modified>
  <cp:revision>20</cp:revision>
  <dc:subject/>
  <dc:title/>
</cp:coreProperties>
</file>

<file path=docProps/custom.xml><?xml version="1.0" encoding="utf-8"?>
<Properties xmlns="http://schemas.openxmlformats.org/officeDocument/2006/custom-properties" xmlns:vt="http://schemas.openxmlformats.org/officeDocument/2006/docPropsVTypes"/>
</file>