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7"/>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依頼" sheetId="8" state="visible" r:id="rId11"/>
    <sheet name="依頼種別" sheetId="9" state="visible" r:id="rId12"/>
    <sheet name="依頼主" sheetId="10" state="visible" r:id="rId13"/>
    <sheet name="バフ、デバフ" sheetId="11" state="visible" r:id="rId14"/>
    <sheet name="バフ、デバフ種別" sheetId="12" state="visible" r:id="rId15"/>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<sst xmlns="http://schemas.openxmlformats.org/spreadsheetml/2006/main" count="875" uniqueCount="288">
  <si>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</si>
  <si>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</si>
  <si>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</si>
  <si>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</si>
  <si>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</si>
  <si>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</si>
  <si>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</si>
  <si>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</si>
  <si>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</si>
  <si>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</si>
  <si>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</si>
  <si>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</si>
  <si>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</si>
  <si>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</si>
  <si>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</si>
  <si>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</si>
  <si>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</si>
  <si>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</si>
  <si>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依頼</t>
  </si>
  <si>
    <t xml:space="preserve">request_data</t>
  </si>
  <si>
    <t xml:space="preserve">説明</t>
  </si>
  <si>
    <t xml:space="preserve">依頼種別</t>
  </si>
  <si>
    <t xml:space="preserve">request_type_data</t>
  </si>
  <si>
    <t xml:space="preserve">JSON出力ツールはエクセルデータから一部を切り出して</t>
  </si>
  <si>
    <t xml:space="preserve">依頼主</t>
  </si>
  <si>
    <t xml:space="preserve">request_client_data</t>
  </si>
  <si>
    <t xml:space="preserve">JSONファイルとC#のクラスファイルを出力するためのツールです。</t>
  </si>
  <si>
    <t xml:space="preserve">バフ、デバフ</t>
  </si>
  <si>
    <t xml:space="preserve">effect_data</t>
  </si>
  <si>
    <t xml:space="preserve">まとめられたデータは、エクセルと同じ階層に「json」のフォルダを作成し、</t>
  </si>
  <si>
    <t xml:space="preserve">バフ、デバフ種別</t>
  </si>
  <si>
    <t xml:space="preserve">effect_type_data</t>
  </si>
  <si>
    <t xml:space="preserve">その中に、UTF-8、BOMなしのcsファイルを出力していきます。</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</si>
  <si>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</si>
  <si>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</si>
  <si>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</si>
  <si>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</si>
  <si>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</si>
  <si>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</si>
  <si>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</si>
  <si>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</si>
  <si>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</si>
  <si>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</si>
  <si>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</si>
  <si>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</si>
  <si>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</si>
  <si>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</si>
  <si>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</si>
  <si>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</si>
  <si>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</si>
  <si>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</si>
  <si>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</si>
  <si>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</si>
  <si>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</si>
  <si>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</si>
  <si>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</si>
  <si>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</si>
  <si>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</si>
  <si>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</si>
  <si>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</si>
  <si>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</si>
  <si>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</si>
  <si>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</si>
  <si>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</si>
  <si>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</si>
  <si>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</si>
  <si>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</si>
  <si>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</si>
  <si>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</si>
  <si>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</si>
  <si>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</si>
  <si>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</si>
  <si>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</si>
  <si>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</si>
  <si>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</si>
  <si>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</si>
  <si>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</si>
  <si>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</si>
  <si>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</si>
  <si>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</si>
  <si>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</si>
  <si>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</si>
  <si>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</si>
  <si>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</si>
  <si>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</si>
  <si>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</si>
  <si>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</si>
  <si>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</si>
  <si>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</si>
  <si>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</si>
  <si>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</si>
  <si>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</si>
  <si>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</si>
  <si>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</si>
  <si>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</si>
  <si>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</si>
  <si>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</si>
  <si>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</si>
  <si>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</si>
  <si>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</si>
  <si>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</si>
  <si>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</si>
  <si>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</si>
  <si>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</si>
  <si>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</si>
  <si>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</si>
  <si>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</si>
  <si>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</si>
  <si>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</si>
  <si>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</si>
  <si>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</si>
  <si>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</si>
  <si>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</si>
  <si>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</si>
  <si>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</si>
  <si>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</si>
  <si>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UnlockChapter:int</t>
  </si>
  <si>
    <t xml:space="preserve">UnlockSection:int</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</si>
  <si>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</si>
  <si>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</si>
  <si>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</si>
  <si>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</si>
  <si>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</si>
  <si>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</si>
  <si>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</si>
  <si>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</si>
  <si>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</si>
  <si>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</si>
  <si>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</si>
  <si>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</si>
  <si>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Count:int</t>
  </si>
  <si>
    <t xml:space="preserve">Cost:int</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</si>
  <si>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</si>
  <si>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</si>
  <si>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</si>
  <si>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</si>
  <si>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</si>
  <si>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</si>
  <si>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</si>
  <si>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</si>
  <si>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</si>
  <si>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</si>
  <si>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</si>
  <si>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</si>
  <si>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</si>
  <si>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</si>
  <si>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</si>
  <si>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</si>
  <si>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</si>
  <si>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Level:int</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</si>
  <si>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</si>
  <si>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</si>
  <si>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</si>
  <si>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</si>
  <si>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</si>
  <si>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</si>
  <si>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</si>
  <si>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</si>
  <si>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</si>
  <si>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</si>
  <si>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</si>
  <si>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</si>
  <si>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</si>
  <si>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</si>
  <si>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</si>
  <si>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</si>
  <si>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</si>
  <si>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</si>
  <si>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</si>
  <si>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</si>
  <si>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</si>
  <si>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</si>
  <si>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</si>
  <si>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タイトル</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</si>
  <si>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</si>
  <si>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</si>
  <si>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</si>
  <si>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</si>
  <si>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</si>
  <si>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</si>
  <si>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</si>
  <si>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</si>
  <si>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</si>
  <si>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</si>
  <si>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</si>
  <si>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</si>
  <si>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</si>
  <si>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</si>
  <si>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</si>
  <si>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</si>
  <si>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</si>
  <si>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農１</t>
  </si>
  <si>
    <t xml:space="preserve">水をつないで食料を生産する</t>
  </si>
  <si>
    <t xml:space="preserve">老人（男）</t>
  </si>
  <si>
    <t xml:space="preserve">出力を上げる</t>
  </si>
  <si>
    <t xml:space="preserve">なし</t>
  </si>
  <si>
    <t xml:space="preserve">家１</t>
  </si>
  <si>
    <t xml:space="preserve">水、電気、食料をつなぎ労働力を生産する</t>
  </si>
  <si>
    <t xml:space="preserve">小学生（女）</t>
  </si>
  <si>
    <t xml:space="preserve">瓦礫除去</t>
  </si>
  <si>
    <t xml:space="preserve">瓦礫の除去でお金をもらう</t>
  </si>
  <si>
    <t xml:space="preserve">ノードの数を減らす</t>
  </si>
  <si>
    <t xml:space="preserve">商業モジュール開放</t>
  </si>
  <si>
    <t xml:space="preserve">家２</t>
  </si>
  <si>
    <t xml:space="preserve">４件解放されるので全ての家のに水と電気と食料をつなぐ</t>
  </si>
  <si>
    <t xml:space="preserve">中年（女）</t>
  </si>
  <si>
    <t xml:space="preserve">複数ノードのレベル上げる</t>
  </si>
  <si>
    <t xml:space="preserve">農家２</t>
  </si>
  <si>
    <t xml:space="preserve">農家のレベルを上げる</t>
  </si>
  <si>
    <t xml:space="preserve">中年（男）</t>
  </si>
  <si>
    <t xml:space="preserve">全ノードのレベル上げる</t>
  </si>
  <si>
    <t xml:space="preserve">食品加工モジュール開放</t>
  </si>
  <si>
    <t xml:space="preserve">さらなる食料生産</t>
  </si>
  <si>
    <t xml:space="preserve">ありがとう。おかげで農業の生産が安定した。だが、こんな農場１つ雑魚の区の食事は賄えない。どうか、もっと農場を増やしてもらえないだろうか。</t>
  </si>
  <si>
    <t xml:space="preserve">農業の人</t>
  </si>
  <si>
    <t xml:space="preserve">資金の使い方</t>
  </si>
  <si>
    <t xml:space="preserve">なかなか上手くいっているようですね。上からの希望もあり、あなたに資金使用の権限が付与されました。まずは資金を使って水や電気の出力を上げてみてはいかがでしょう。</t>
  </si>
  <si>
    <t xml:space="preserve">AI</t>
  </si>
  <si>
    <t xml:space="preserve">働く場所が欲しい</t>
  </si>
  <si>
    <t xml:space="preserve">暮らしは苦しいが、みんな生きる活力に満ち溢れている。調律者さんがうまくやってくれているおかげだ。俺は手先が器用だからいろいろな道具が作れると思うんだ。どうか工場を作ってもらえないか。</t>
  </si>
  <si>
    <t xml:space="preserve">工場の人</t>
  </si>
  <si>
    <t xml:space="preserve">整備が必要</t>
  </si>
  <si>
    <t xml:space="preserve">ごまかしごまかしやってきたが、そろそろ難しくなってきた。どうにかして設備をメンテナンスできる道具を調達できないだろうか。</t>
  </si>
  <si>
    <t xml:space="preserve">買い物がしたい</t>
  </si>
  <si>
    <t xml:space="preserve">買い物できる場所を作って</t>
  </si>
  <si>
    <t xml:space="preserve">青年（女）</t>
  </si>
  <si>
    <t xml:space="preserve">治安維持組織</t>
  </si>
  <si>
    <t xml:space="preserve">生活が安定してして人が増えてきたせいか、治安について心配する声がある。</t>
  </si>
  <si>
    <t xml:space="preserve">老人（女）</t>
  </si>
  <si>
    <t xml:space="preserve">農業特化</t>
  </si>
  <si>
    <t xml:space="preserve">この区を農業特化しましょう。</t>
  </si>
  <si>
    <t xml:space="preserve">選択</t>
  </si>
  <si>
    <t xml:space="preserve">工業特化</t>
  </si>
  <si>
    <t xml:space="preserve">この区を工業特化しましょう。</t>
  </si>
  <si>
    <t xml:space="preserve">商業特価</t>
  </si>
  <si>
    <t xml:space="preserve">この区を商業特化しましょう。</t>
  </si>
  <si>
    <t xml:space="preserve">商業の人</t>
  </si>
  <si>
    <t xml:space="preserve">さらなる発展を</t>
  </si>
  <si>
    <t xml:space="preserve">区の資金出力を上げる</t>
  </si>
  <si>
    <t xml:space="preserve">収入を増やす</t>
  </si>
  <si>
    <t xml:space="preserve">Chapter,Section</t>
  </si>
  <si>
    <t xml:space="preserve">この要求を受け入れますか？</t>
  </si>
  <si>
    <t xml:space="preserve">ノードの数を増やす</t>
  </si>
  <si>
    <t xml:space="preserve">{0}ノードを{1}以上にする。</t>
  </si>
  <si>
    <t xml:space="preserve">{0}ノードを{1}以下にする。</t>
  </si>
  <si>
    <t xml:space="preserve">Lv.{2}以上の{0}ノードを{1}以上にする。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</si>
  <si>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</si>
  <si>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</si>
  <si>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</si>
  <si>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</si>
  <si>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ノードの合計の数を下げる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</si>
  <si>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</si>
  <si>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</si>
  <si>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</si>
  <si>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</si>
  <si>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</si>
  <si>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学生（女）</t>
  </si>
  <si>
    <t xml:space="preserve">青年（男）</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</si>
  <si>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</si>
  <si>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</si>
  <si>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</si>
  <si>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</si>
  <si>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</si>
  <si>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</si>
  <si>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</si>
  <si>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</si>
  <si>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</si>
  <si>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</si>
  <si>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</si>
  <si>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居住モジュール開放</t>
  </si>
  <si>
    <t xml:space="preserve">{0}を作成できるようになります。</t>
  </si>
  <si>
    <t xml:space="preserve">工業モジュール開放</t>
  </si>
  <si>
    <t xml:space="preserve">農業モジュール開放</t>
  </si>
  <si>
    <t xml:space="preserve">テスト</t>
  </si>
  <si>
    <t xml:space="preserve">{0}の出力が永久に+{1}％</t>
  </si>
  <si>
    <t xml:space="preserve">テスト2</t>
  </si>
  <si>
    <t xml:space="preserve">{0}が追加で{2}を{1}つ出力するようになる。</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</si>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</sst>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29">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sz val="9"/>
      <color theme="9" tint="0.3999"/>
      <name val="ＭＳ ゴシック"/>
      <family val="3"/>
      <charset val="128"/>
    </font>
  </fonts>
  <fills count="20">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900"/>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900"/>
      </patternFill>
    </fill>
    <fill>
      <patternFill patternType="solid">
        <fgColor theme="9" tint="0.5999"/>
        <bgColor rgb="FFFAC090"/>
      </patternFill>
    </fill>
    <fill>
      <patternFill patternType="solid">
        <fgColor theme="1" tint="0.2499"/>
        <bgColor rgb="FF595959"/>
      </patternFill>
    </fill>
  </fills>
  <borders count="4">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72">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24" fillId="18" borderId="1" xfId="0" applyFont="true" applyBorder="true" applyAlignment="true" applyProtection="true">
      <alignment horizontal="general" vertical="center" textRotation="0" wrapText="false" indent="0" shrinkToFit="false"/>
      <protection locked="true" hidden="false"/>
    </xf>
    <xf numFmtId="164" fontId="28" fillId="5" borderId="1" xfId="0" applyFont="true" applyBorder="true" applyAlignment="true" applyProtection="true">
      <alignment horizontal="general" vertical="center" textRotation="0" wrapText="false" indent="0" shrinkToFit="false"/>
      <protection locked="true" hidden="false"/>
    </xf>
    <xf numFmtId="164" fontId="21" fillId="18" borderId="1" xfId="0" applyFont="true" applyBorder="true" applyAlignment="true" applyProtection="true">
      <alignment horizontal="general"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true" indent="0" shrinkToFit="false"/>
      <protection locked="true" hidden="false"/>
    </xf>
    <xf numFmtId="164" fontId="28" fillId="19"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900"/>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7560</xdr:colOff>
          <xdr:row>2</xdr:row>
          <xdr:rowOff>26640</xdr:rowOff>
        </xdr:from>
        <xdr:to>
          <xdr:col>4</xdr:col>
          <xdr:colOff>-102960</xdr:colOff>
          <xdr:row>3</xdr:row>
          <xdr:rowOff>174960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3960</xdr:colOff>
          <xdr:row>2</xdr:row>
          <xdr:rowOff>11520</xdr:rowOff>
        </xdr:from>
        <xdr:to>
          <xdr:col>6</xdr:col>
          <xdr:colOff>-106560</xdr:colOff>
          <xdr:row>4</xdr:row>
          <xdr:rowOff>3960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7" activeCellId="0" sqref="B7"/>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I12" s="16"/>
    </row>
    <row r="13" customFormat="false" ht="13.8" hidden="false" customHeight="false" outlineLevel="0" collapsed="false">
      <c r="I13" s="17" t="s">
        <v>33</v>
      </c>
    </row>
    <row r="14" customFormat="false" ht="13.8" hidden="false" customHeight="false" outlineLevel="0" collapsed="false">
      <c r="I14" s="16"/>
    </row>
    <row r="15" customFormat="false" ht="13.8" hidden="false" customHeight="false" outlineLevel="0" collapsed="false">
      <c r="J15" s="4" t="s">
        <v>34</v>
      </c>
    </row>
    <row r="16" customFormat="false" ht="13.8" hidden="false" customHeight="false" outlineLevel="0" collapsed="false">
      <c r="J16" s="4" t="s">
        <v>35</v>
      </c>
    </row>
    <row r="17" customFormat="false" ht="13.8" hidden="false" customHeight="false" outlineLevel="0" collapsed="false"/>
    <row r="18" customFormat="false" ht="13.8" hidden="false" customHeight="false" outlineLevel="0" collapsed="false">
      <c r="J18" s="4" t="s">
        <v>36</v>
      </c>
    </row>
    <row r="19" customFormat="false" ht="13.8" hidden="false" customHeight="false" outlineLevel="0" collapsed="false">
      <c r="J19" s="4" t="s">
        <v>37</v>
      </c>
    </row>
    <row r="20" customFormat="false" ht="13.8" hidden="false" customHeight="false" outlineLevel="0" collapsed="false"/>
    <row r="21" customFormat="false" ht="13.8" hidden="false" customHeight="false" outlineLevel="0" collapsed="false">
      <c r="J21" s="4" t="s">
        <v>38</v>
      </c>
    </row>
    <row r="22" customFormat="false" ht="13.8" hidden="false" customHeight="false" outlineLevel="0" collapsed="false">
      <c r="J22" s="4" t="s">
        <v>39</v>
      </c>
    </row>
    <row r="23" customFormat="false" ht="13.8" hidden="false" customHeight="false" outlineLevel="0" collapsed="false"/>
    <row r="24" customFormat="false" ht="13.8" hidden="false" customHeight="false" outlineLevel="0" collapsed="false">
      <c r="J24" s="4" t="s">
        <v>40</v>
      </c>
    </row>
    <row r="25" customFormat="false" ht="13.8" hidden="false" customHeight="false" outlineLevel="0" collapsed="false">
      <c r="J25" s="4" t="s">
        <v>41</v>
      </c>
    </row>
    <row r="26" customFormat="false" ht="13.8" hidden="false" customHeight="false" outlineLevel="0" collapsed="false">
      <c r="J26" s="4" t="s">
        <v>42</v>
      </c>
    </row>
    <row r="27" customFormat="false" ht="13.8" hidden="false" customHeight="false" outlineLevel="0" collapsed="false">
      <c r="J27" s="4" t="s">
        <v>43</v>
      </c>
    </row>
    <row r="28" customFormat="false" ht="13.8" hidden="false" customHeight="false" outlineLevel="0" collapsed="false"/>
    <row r="29" customFormat="false" ht="13.8" hidden="false" customHeight="false" outlineLevel="0" collapsed="false">
      <c r="I29" s="18"/>
      <c r="J29" s="4" t="s">
        <v>44</v>
      </c>
    </row>
    <row r="30" customFormat="false" ht="13.8" hidden="false" customHeight="false" outlineLevel="0" collapsed="false">
      <c r="J30" s="4" t="s">
        <v>45</v>
      </c>
    </row>
    <row r="31" customFormat="false" ht="13.8" hidden="false" customHeight="false" outlineLevel="0" collapsed="false">
      <c r="J31" s="4" t="s">
        <v>46</v>
      </c>
    </row>
    <row r="32" customFormat="false" ht="13.8" hidden="false" customHeight="false" outlineLevel="0" collapsed="false"/>
    <row r="33" customFormat="false" ht="13.8" hidden="false" customHeight="false" outlineLevel="0" collapsed="false">
      <c r="J33" s="4" t="s">
        <v>47</v>
      </c>
    </row>
    <row r="34" customFormat="false" ht="13.8" hidden="false" customHeight="false" outlineLevel="0" collapsed="false">
      <c r="J34" s="4" t="s">
        <v>48</v>
      </c>
    </row>
    <row r="35" customFormat="false" ht="13.8" hidden="false" customHeight="false" outlineLevel="0" collapsed="false">
      <c r="J35" s="4" t="s">
        <v>49</v>
      </c>
    </row>
    <row r="36" customFormat="false" ht="13.8" hidden="false" customHeight="false" outlineLevel="0" collapsed="false"/>
    <row r="37" customFormat="false" ht="13.8" hidden="false" customHeight="false" outlineLevel="0" collapsed="false">
      <c r="J37" s="4" t="s">
        <v>50</v>
      </c>
    </row>
    <row r="38" customFormat="false" ht="13.8" hidden="false" customHeight="false" outlineLevel="0" collapsed="false">
      <c r="J38" s="4" t="s">
        <v>51</v>
      </c>
    </row>
    <row r="39" customFormat="false" ht="13.8" hidden="false" customHeight="false" outlineLevel="0" collapsed="false">
      <c r="J39" s="4" t="s">
        <v>52</v>
      </c>
    </row>
    <row r="40" customFormat="false" ht="13.8" hidden="false" customHeight="false" outlineLevel="0" collapsed="false"/>
    <row r="41" customFormat="false" ht="13.8" hidden="false" customHeight="false" outlineLevel="0" collapsed="false">
      <c r="I41" s="18" t="s">
        <v>53</v>
      </c>
    </row>
    <row r="42" customFormat="false" ht="13.8" hidden="false" customHeight="false" outlineLevel="0" collapsed="false">
      <c r="J42" s="4" t="s">
        <v>54</v>
      </c>
    </row>
    <row r="43" customFormat="false" ht="13.8" hidden="false" customHeight="false" outlineLevel="0" collapsed="false">
      <c r="J43" s="4" t="s">
        <v>55</v>
      </c>
    </row>
    <row r="44" customFormat="false" ht="13.8" hidden="false" customHeight="false" outlineLevel="0" collapsed="false">
      <c r="J44" s="4" t="s">
        <v>56</v>
      </c>
    </row>
    <row r="45" customFormat="false" ht="13.8" hidden="false" customHeight="false" outlineLevel="0" collapsed="false"/>
    <row r="46" customFormat="false" ht="13.8" hidden="false" customHeight="false" outlineLevel="0" collapsed="false">
      <c r="J46" s="4" t="s">
        <v>57</v>
      </c>
    </row>
    <row r="47" customFormat="false" ht="13.8" hidden="false" customHeight="false" outlineLevel="0" collapsed="false">
      <c r="J47" s="4" t="s">
        <v>58</v>
      </c>
    </row>
    <row r="48" customFormat="false" ht="13.8" hidden="false" customHeight="false" outlineLevel="0" collapsed="false"/>
    <row r="49" customFormat="false" ht="13.8" hidden="false" customHeight="false" outlineLevel="0" collapsed="false">
      <c r="J49" s="4" t="s">
        <v>59</v>
      </c>
    </row>
    <row r="50" customFormat="false" ht="13.8" hidden="false" customHeight="false" outlineLevel="0" collapsed="false">
      <c r="J50" s="4" t="s">
        <v>60</v>
      </c>
    </row>
    <row r="51" customFormat="false" ht="13.8" hidden="false" customHeight="false" outlineLevel="0" collapsed="false">
      <c r="J51" s="4" t="s">
        <v>61</v>
      </c>
    </row>
    <row r="52" customFormat="false" ht="13.8" hidden="false" customHeight="false" outlineLevel="0" collapsed="false"/>
    <row r="53" customFormat="false" ht="13.8" hidden="false" customHeight="false" outlineLevel="0" collapsed="false">
      <c r="J53" s="4" t="s">
        <v>62</v>
      </c>
    </row>
    <row r="54" customFormat="false" ht="13.8" hidden="false" customHeight="false" outlineLevel="0" collapsed="false">
      <c r="J54" s="4" t="s">
        <v>63</v>
      </c>
    </row>
    <row r="55" customFormat="false" ht="13.8" hidden="false" customHeight="false" outlineLevel="0" collapsed="false"/>
    <row r="56" customFormat="false" ht="13.8" hidden="false" customHeight="false" outlineLevel="0" collapsed="false">
      <c r="J56" s="4" t="s">
        <v>64</v>
      </c>
    </row>
    <row r="57" customFormat="false" ht="13.8" hidden="false" customHeight="false" outlineLevel="0" collapsed="false">
      <c r="J57" s="4" t="s">
        <v>65</v>
      </c>
    </row>
    <row r="58" customFormat="false" ht="13.8" hidden="false" customHeight="false" outlineLevel="0" collapsed="false"/>
    <row r="59" customFormat="false" ht="13.8" hidden="false" customHeight="false" outlineLevel="0" collapsed="false">
      <c r="J59" s="4" t="s">
        <v>66</v>
      </c>
    </row>
    <row r="60" customFormat="false" ht="13.8" hidden="false" customHeight="false" outlineLevel="0" collapsed="false">
      <c r="J60" s="4" t="s">
        <v>67</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7560</xdr:colOff>
                    <xdr:row>2</xdr:row>
                    <xdr:rowOff>26640</xdr:rowOff>
                  </from>
                  <to>
                    <xdr:col>4</xdr:col>
                    <xdr:colOff>-102960</xdr:colOff>
                    <xdr:row>3</xdr:row>
                    <xdr:rowOff>174960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68</v>
      </c>
      <c r="D1" s="27" t="s">
        <v>69</v>
      </c>
      <c r="F1" s="28" t="s">
        <v>70</v>
      </c>
      <c r="G1" s="28" t="s">
        <v>71</v>
      </c>
    </row>
    <row r="2" customFormat="false" ht="13.8" hidden="false" customHeight="false" outlineLevel="0" collapsed="false">
      <c r="A2" s="8" t="s">
        <v>4</v>
      </c>
      <c r="B2" s="9" t="s">
        <v>72</v>
      </c>
      <c r="C2" s="29" t="s">
        <v>73</v>
      </c>
      <c r="D2" s="29" t="s">
        <v>74</v>
      </c>
      <c r="F2" s="30"/>
      <c r="K2" s="31" t="s">
        <v>6</v>
      </c>
    </row>
    <row r="3" customFormat="false" ht="13.8" hidden="false" customHeight="false" outlineLevel="0" collapsed="false">
      <c r="A3" s="8" t="s">
        <v>7</v>
      </c>
      <c r="B3" s="32" t="s">
        <v>75</v>
      </c>
      <c r="C3" s="29" t="s">
        <v>73</v>
      </c>
      <c r="D3" s="29" t="s">
        <v>74</v>
      </c>
      <c r="L3" s="33" t="s">
        <v>9</v>
      </c>
    </row>
    <row r="4" customFormat="false" ht="13.8" hidden="false" customHeight="false" outlineLevel="0" collapsed="false">
      <c r="A4" s="8" t="s">
        <v>27</v>
      </c>
      <c r="B4" s="32" t="s">
        <v>76</v>
      </c>
      <c r="C4" s="29" t="s">
        <v>73</v>
      </c>
      <c r="D4" s="29" t="s">
        <v>74</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77</v>
      </c>
    </row>
    <row r="9" customFormat="false" ht="13.8" hidden="false" customHeight="false" outlineLevel="0" collapsed="false">
      <c r="L9" s="33" t="s">
        <v>78</v>
      </c>
    </row>
    <row r="10" customFormat="false" ht="13.8" hidden="false" customHeight="false" outlineLevel="0" collapsed="false">
      <c r="L10" s="33" t="s">
        <v>79</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33</v>
      </c>
      <c r="L13" s="33"/>
    </row>
    <row r="14" customFormat="false" ht="13.8" hidden="false" customHeight="false" outlineLevel="0" collapsed="false">
      <c r="K14" s="40"/>
      <c r="L14" s="33"/>
    </row>
    <row r="15" customFormat="false" ht="13.8" hidden="false" customHeight="false" outlineLevel="0" collapsed="false">
      <c r="L15" s="33" t="s">
        <v>34</v>
      </c>
    </row>
    <row r="16" customFormat="false" ht="13.8" hidden="false" customHeight="false" outlineLevel="0" collapsed="false">
      <c r="L16" s="33" t="s">
        <v>35</v>
      </c>
    </row>
    <row r="17" customFormat="false" ht="13.8" hidden="false" customHeight="false" outlineLevel="0" collapsed="false">
      <c r="L17" s="33" t="s">
        <v>80</v>
      </c>
    </row>
    <row r="18" customFormat="false" ht="13.8" hidden="false" customHeight="false" outlineLevel="0" collapsed="false">
      <c r="L18" s="42" t="s">
        <v>81</v>
      </c>
    </row>
    <row r="19" customFormat="false" ht="13.8" hidden="false" customHeight="false" outlineLevel="0" collapsed="false">
      <c r="L19" s="42" t="s">
        <v>82</v>
      </c>
    </row>
    <row r="20" customFormat="false" ht="13.8" hidden="false" customHeight="false" outlineLevel="0" collapsed="false"/>
    <row r="21" customFormat="false" ht="13.8" hidden="false" customHeight="false" outlineLevel="0" collapsed="false">
      <c r="L21" s="33" t="s">
        <v>36</v>
      </c>
    </row>
    <row r="22" customFormat="false" ht="13.8" hidden="false" customHeight="false" outlineLevel="0" collapsed="false">
      <c r="L22" s="33" t="s">
        <v>37</v>
      </c>
    </row>
    <row r="23" customFormat="false" ht="13.8" hidden="false" customHeight="false" outlineLevel="0" collapsed="false">
      <c r="L23" s="33"/>
    </row>
    <row r="24" customFormat="false" ht="13.8" hidden="false" customHeight="false" outlineLevel="0" collapsed="false">
      <c r="L24" s="33" t="s">
        <v>38</v>
      </c>
    </row>
    <row r="25" customFormat="false" ht="13.8" hidden="false" customHeight="false" outlineLevel="0" collapsed="false">
      <c r="L25" s="33" t="s">
        <v>39</v>
      </c>
    </row>
    <row r="26" customFormat="false" ht="13.8" hidden="false" customHeight="false" outlineLevel="0" collapsed="false">
      <c r="L26" s="33"/>
    </row>
    <row r="27" customFormat="false" ht="13.8" hidden="false" customHeight="false" outlineLevel="0" collapsed="false">
      <c r="L27" s="33" t="s">
        <v>40</v>
      </c>
    </row>
    <row r="28" customFormat="false" ht="13.8" hidden="false" customHeight="false" outlineLevel="0" collapsed="false">
      <c r="L28" s="33" t="s">
        <v>41</v>
      </c>
    </row>
    <row r="29" customFormat="false" ht="13.8" hidden="false" customHeight="false" outlineLevel="0" collapsed="false">
      <c r="K29" s="43"/>
      <c r="L29" s="33" t="s">
        <v>42</v>
      </c>
    </row>
    <row r="30" customFormat="false" ht="13.8" hidden="false" customHeight="false" outlineLevel="0" collapsed="false">
      <c r="L30" s="33" t="s">
        <v>43</v>
      </c>
    </row>
    <row r="31" customFormat="false" ht="13.8" hidden="false" customHeight="false" outlineLevel="0" collapsed="false"/>
    <row r="32" customFormat="false" ht="13.8" hidden="false" customHeight="false" outlineLevel="0" collapsed="false">
      <c r="K32" s="43" t="s">
        <v>53</v>
      </c>
      <c r="L32" s="33"/>
    </row>
    <row r="33" customFormat="false" ht="13.8" hidden="false" customHeight="false" outlineLevel="0" collapsed="false">
      <c r="L33" s="33"/>
    </row>
    <row r="34" customFormat="false" ht="13.8" hidden="false" customHeight="false" outlineLevel="0" collapsed="false">
      <c r="L34" s="33" t="s">
        <v>83</v>
      </c>
    </row>
    <row r="35" customFormat="false" ht="13.8" hidden="false" customHeight="false" outlineLevel="0" collapsed="false">
      <c r="L35" s="33" t="s">
        <v>84</v>
      </c>
    </row>
    <row r="36" customFormat="false" ht="13.8" hidden="false" customHeight="false" outlineLevel="0" collapsed="false"/>
    <row r="37" customFormat="false" ht="13.8" hidden="false" customHeight="false" outlineLevel="0" collapsed="false">
      <c r="L37" s="33" t="s">
        <v>85</v>
      </c>
    </row>
    <row r="38" customFormat="false" ht="13.8" hidden="false" customHeight="false" outlineLevel="0" collapsed="false">
      <c r="L38" s="33" t="s">
        <v>86</v>
      </c>
    </row>
    <row r="39" customFormat="false" ht="13.8" hidden="false" customHeight="false" outlineLevel="0" collapsed="false"/>
    <row r="40" customFormat="false" ht="13.8" hidden="false" customHeight="false" outlineLevel="0" collapsed="false">
      <c r="L40" s="33" t="s">
        <v>87</v>
      </c>
    </row>
    <row r="41" customFormat="false" ht="13.8" hidden="false" customHeight="false" outlineLevel="0" collapsed="false">
      <c r="L41" s="33" t="s">
        <v>88</v>
      </c>
    </row>
    <row r="42" customFormat="false" ht="13.8" hidden="false" customHeight="false" outlineLevel="0" collapsed="false"/>
    <row r="43" customFormat="false" ht="13.8" hidden="false" customHeight="false" outlineLevel="0" collapsed="false">
      <c r="L43" s="33" t="s">
        <v>89</v>
      </c>
    </row>
    <row r="44" customFormat="false" ht="13.8" hidden="false" customHeight="false" outlineLevel="0" collapsed="false">
      <c r="L44" s="33" t="s">
        <v>90</v>
      </c>
    </row>
    <row r="45" customFormat="false" ht="13.8" hidden="false" customHeight="false" outlineLevel="0" collapsed="false"/>
    <row r="46" customFormat="false" ht="13.8" hidden="false" customHeight="false" outlineLevel="0" collapsed="false">
      <c r="L46" s="33" t="s">
        <v>66</v>
      </c>
    </row>
    <row r="47" customFormat="false" ht="13.8" hidden="false" customHeight="false" outlineLevel="0" collapsed="false">
      <c r="L47" s="33" t="s">
        <v>91</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3960</xdr:colOff>
                    <xdr:row>2</xdr:row>
                    <xdr:rowOff>11520</xdr:rowOff>
                  </from>
                  <to>
                    <xdr:col>6</xdr:col>
                    <xdr:colOff>-106560</xdr:colOff>
                    <xdr:row>4</xdr:row>
                    <xdr:rowOff>3960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92</v>
      </c>
      <c r="B3" s="46"/>
      <c r="C3" s="46"/>
      <c r="D3" s="46"/>
      <c r="E3" s="46"/>
      <c r="F3" s="46"/>
    </row>
    <row r="4" customFormat="false" ht="13.8" hidden="false" customHeight="false" outlineLevel="0" collapsed="false">
      <c r="A4" s="47" t="s">
        <v>93</v>
      </c>
      <c r="B4" s="47" t="s">
        <v>94</v>
      </c>
      <c r="C4" s="47" t="s">
        <v>95</v>
      </c>
      <c r="D4" s="48" t="s">
        <v>96</v>
      </c>
      <c r="E4" s="48" t="s">
        <v>97</v>
      </c>
      <c r="F4" s="47" t="s">
        <v>98</v>
      </c>
    </row>
    <row r="5" customFormat="false" ht="13.8" hidden="false" customHeight="false" outlineLevel="0" collapsed="false">
      <c r="A5" s="49" t="s">
        <v>99</v>
      </c>
      <c r="B5" s="49" t="s">
        <v>100</v>
      </c>
      <c r="C5" s="49" t="s">
        <v>101</v>
      </c>
      <c r="D5" s="49"/>
      <c r="E5" s="49"/>
      <c r="F5" s="49" t="s">
        <v>102</v>
      </c>
    </row>
    <row r="6" customFormat="false" ht="13.8" hidden="false" customHeight="false" outlineLevel="0" collapsed="false">
      <c r="A6" s="50" t="n">
        <v>0</v>
      </c>
      <c r="B6" s="50" t="s">
        <v>103</v>
      </c>
      <c r="C6" s="50" t="n">
        <v>0</v>
      </c>
      <c r="D6" s="51"/>
      <c r="E6" s="50" t="str">
        <f aca="false" t="array" ref="E6:E6">GETCOLORJSON(D6)</f>
        <v>{"r":1,"g":1,"b":1,"a":1}</v>
      </c>
      <c r="F6" s="50" t="str">
        <f aca="false">E6</f>
        <v>{"r":1,"g":1,"b":1,"a":1}</v>
      </c>
    </row>
    <row r="7" customFormat="false" ht="13.8" hidden="false" customHeight="false" outlineLevel="0" collapsed="false">
      <c r="A7" s="50" t="n">
        <v>1</v>
      </c>
      <c r="B7" s="50" t="s">
        <v>104</v>
      </c>
      <c r="C7" s="50" t="n">
        <v>0</v>
      </c>
      <c r="D7" s="52"/>
      <c r="E7" s="50" t="str">
        <f aca="false" t="array" ref="E7:E7">GETCOLORJSON(D7)</f>
        <v>{"r":1,"g":0.753,"b":0,"a":1}</v>
      </c>
      <c r="F7" s="50" t="str">
        <f aca="false">E7</f>
        <v>{"r":1,"g":0.753,"b":0,"a":1}</v>
      </c>
    </row>
    <row r="8" customFormat="false" ht="13.8" hidden="false" customHeight="false" outlineLevel="0" collapsed="false">
      <c r="A8" s="50" t="n">
        <v>2</v>
      </c>
      <c r="B8" s="50" t="s">
        <v>105</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106</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107</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108</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109</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110</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111</v>
      </c>
      <c r="B14" s="46"/>
      <c r="C14" s="46"/>
      <c r="D14" s="46"/>
      <c r="E14" s="46"/>
      <c r="F14" s="46"/>
    </row>
    <row r="18" customFormat="false" ht="13.8" hidden="false" customHeight="false" outlineLevel="0" collapsed="false">
      <c r="A18" s="59" t="s">
        <v>112</v>
      </c>
    </row>
    <row r="19" customFormat="false" ht="13.8" hidden="false" customHeight="false" outlineLevel="0" collapsed="false">
      <c r="A19"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3" activeCellId="0" sqref="A23"/>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13.36"/>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93</v>
      </c>
      <c r="B4" s="47" t="s">
        <v>94</v>
      </c>
      <c r="C4" s="47" t="s">
        <v>114</v>
      </c>
      <c r="D4" s="47" t="s">
        <v>115</v>
      </c>
    </row>
    <row r="5" customFormat="false" ht="12.75" hidden="false" customHeight="false" outlineLevel="0" collapsed="false">
      <c r="A5" s="49" t="s">
        <v>99</v>
      </c>
      <c r="B5" s="49" t="s">
        <v>100</v>
      </c>
      <c r="C5" s="49" t="s">
        <v>116</v>
      </c>
      <c r="D5" s="49" t="s">
        <v>117</v>
      </c>
    </row>
    <row r="6" customFormat="false" ht="12.75" hidden="false" customHeight="false" outlineLevel="0" collapsed="false">
      <c r="A6" s="50" t="n">
        <v>1</v>
      </c>
      <c r="B6" s="50" t="s">
        <v>118</v>
      </c>
      <c r="C6" s="50" t="n">
        <v>99</v>
      </c>
      <c r="D6" s="50" t="n">
        <v>99</v>
      </c>
    </row>
    <row r="7" customFormat="false" ht="12.75" hidden="false" customHeight="false" outlineLevel="0" collapsed="false">
      <c r="A7" s="50" t="n">
        <v>2</v>
      </c>
      <c r="B7" s="50" t="s">
        <v>119</v>
      </c>
      <c r="C7" s="50" t="n">
        <v>99</v>
      </c>
      <c r="D7" s="50" t="n">
        <v>99</v>
      </c>
    </row>
    <row r="8" customFormat="false" ht="12.75" hidden="false" customHeight="false" outlineLevel="0" collapsed="false">
      <c r="A8" s="50" t="n">
        <v>3</v>
      </c>
      <c r="B8" s="50" t="s">
        <v>120</v>
      </c>
      <c r="C8" s="50" t="n">
        <v>1</v>
      </c>
      <c r="D8" s="50" t="n">
        <v>3</v>
      </c>
    </row>
    <row r="9" customFormat="false" ht="12.75" hidden="false" customHeight="false" outlineLevel="0" collapsed="false">
      <c r="A9" s="50" t="n">
        <v>4</v>
      </c>
      <c r="B9" s="50" t="s">
        <v>121</v>
      </c>
      <c r="C9" s="50" t="n">
        <v>1</v>
      </c>
      <c r="D9" s="50" t="n">
        <v>3</v>
      </c>
    </row>
    <row r="10" customFormat="false" ht="12.75" hidden="false" customHeight="false" outlineLevel="0" collapsed="false">
      <c r="A10" s="50" t="n">
        <v>5</v>
      </c>
      <c r="B10" s="50" t="s">
        <v>122</v>
      </c>
      <c r="C10" s="50" t="n">
        <v>1</v>
      </c>
      <c r="D10" s="50" t="n">
        <v>3</v>
      </c>
    </row>
    <row r="11" customFormat="false" ht="12.75" hidden="false" customHeight="false" outlineLevel="0" collapsed="false">
      <c r="A11" s="50" t="n">
        <v>6</v>
      </c>
      <c r="B11" s="50" t="s">
        <v>123</v>
      </c>
      <c r="C11" s="50" t="n">
        <v>1</v>
      </c>
      <c r="D11" s="50" t="n">
        <v>4</v>
      </c>
    </row>
    <row r="12" customFormat="false" ht="12.75" hidden="false" customHeight="false" outlineLevel="0" collapsed="false">
      <c r="A12" s="50" t="n">
        <v>7</v>
      </c>
      <c r="B12" s="50" t="s">
        <v>124</v>
      </c>
      <c r="C12" s="50" t="n">
        <v>1</v>
      </c>
      <c r="D12" s="50" t="n">
        <v>5</v>
      </c>
    </row>
    <row r="13" customFormat="false" ht="12.75" hidden="false" customHeight="false" outlineLevel="0" collapsed="false">
      <c r="A13" s="50" t="n">
        <v>8</v>
      </c>
      <c r="B13" s="50" t="s">
        <v>125</v>
      </c>
      <c r="C13" s="50" t="n">
        <v>99</v>
      </c>
      <c r="D13" s="50" t="n">
        <v>99</v>
      </c>
    </row>
    <row r="14" customFormat="false" ht="12.75" hidden="false" customHeight="false" outlineLevel="0" collapsed="false">
      <c r="A14" s="50" t="n">
        <v>9</v>
      </c>
      <c r="B14" s="50" t="s">
        <v>126</v>
      </c>
      <c r="C14" s="50" t="n">
        <v>99</v>
      </c>
      <c r="D14" s="50" t="n">
        <v>99</v>
      </c>
    </row>
    <row r="15" customFormat="false" ht="12.75" hidden="false" customHeight="false" outlineLevel="0" collapsed="false">
      <c r="A15" s="50" t="n">
        <v>10</v>
      </c>
      <c r="B15" s="50" t="s">
        <v>127</v>
      </c>
      <c r="C15" s="50" t="n">
        <v>1</v>
      </c>
      <c r="D15" s="50" t="n">
        <v>6</v>
      </c>
    </row>
    <row r="16" customFormat="false" ht="12.75" hidden="false" customHeight="false" outlineLevel="0" collapsed="false">
      <c r="A16" s="46" t="s">
        <v>111</v>
      </c>
      <c r="B16" s="46"/>
      <c r="C16" s="46"/>
      <c r="D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26" activeCellId="0" sqref="D26"/>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93</v>
      </c>
      <c r="B4" s="60" t="s">
        <v>94</v>
      </c>
      <c r="C4" s="47" t="s">
        <v>128</v>
      </c>
      <c r="D4" s="47" t="s">
        <v>129</v>
      </c>
    </row>
    <row r="5" customFormat="false" ht="12.75" hidden="false" customHeight="false" outlineLevel="0" collapsed="false">
      <c r="A5" s="49" t="s">
        <v>99</v>
      </c>
      <c r="B5" s="49" t="s">
        <v>100</v>
      </c>
      <c r="C5" s="49" t="s">
        <v>130</v>
      </c>
      <c r="D5" s="49" t="s">
        <v>131</v>
      </c>
    </row>
    <row r="6" customFormat="false" ht="12.75" hidden="false" customHeight="false" outlineLevel="0" collapsed="false">
      <c r="A6" s="50" t="n">
        <f aca="false">_xlfn.XLOOKUP(B6, ノード!B:B, ノード!A:A, "")</f>
        <v>4</v>
      </c>
      <c r="B6" s="50" t="s">
        <v>121</v>
      </c>
      <c r="C6" s="50" t="n">
        <v>1</v>
      </c>
      <c r="D6" s="50" t="n">
        <v>10</v>
      </c>
    </row>
    <row r="7" customFormat="false" ht="12.75" hidden="false" customHeight="false" outlineLevel="0" collapsed="false">
      <c r="A7" s="50" t="n">
        <f aca="false">_xlfn.XLOOKUP(B7, ノード!B:B, ノード!A:A, "")</f>
        <v>4</v>
      </c>
      <c r="B7" s="50" t="s">
        <v>121</v>
      </c>
      <c r="C7" s="50" t="n">
        <v>2</v>
      </c>
      <c r="D7" s="50" t="n">
        <f aca="false">INT(D6*2.5)</f>
        <v>25</v>
      </c>
    </row>
    <row r="8" customFormat="false" ht="12.75" hidden="false" customHeight="false" outlineLevel="0" collapsed="false">
      <c r="A8" s="50" t="n">
        <f aca="false">_xlfn.XLOOKUP(B8, ノード!B:B, ノード!A:A, "")</f>
        <v>4</v>
      </c>
      <c r="B8" s="50" t="s">
        <v>121</v>
      </c>
      <c r="C8" s="50" t="n">
        <v>3</v>
      </c>
      <c r="D8" s="50" t="n">
        <f aca="false">INT(D7*2.5)</f>
        <v>62</v>
      </c>
    </row>
    <row r="9" customFormat="false" ht="12.75" hidden="false" customHeight="false" outlineLevel="0" collapsed="false">
      <c r="A9" s="50" t="n">
        <f aca="false">_xlfn.XLOOKUP(B9, ノード!B:B, ノード!A:A, "")</f>
        <v>4</v>
      </c>
      <c r="B9" s="50" t="s">
        <v>121</v>
      </c>
      <c r="C9" s="50" t="n">
        <v>4</v>
      </c>
      <c r="D9" s="50" t="n">
        <f aca="false">INT(D8*2.5)</f>
        <v>155</v>
      </c>
    </row>
    <row r="10" customFormat="false" ht="12.75" hidden="false" customHeight="false" outlineLevel="0" collapsed="false">
      <c r="A10" s="50" t="n">
        <f aca="false">_xlfn.XLOOKUP(B10, ノード!B:B, ノード!A:A, "")</f>
        <v>4</v>
      </c>
      <c r="B10" s="50" t="s">
        <v>121</v>
      </c>
      <c r="C10" s="50" t="n">
        <v>5</v>
      </c>
      <c r="D10" s="50" t="n">
        <f aca="false">INT(D9*2.5)</f>
        <v>387</v>
      </c>
    </row>
    <row r="11" customFormat="false" ht="12.75" hidden="false" customHeight="false" outlineLevel="0" collapsed="false">
      <c r="A11" s="50" t="n">
        <f aca="false">_xlfn.XLOOKUP(B11, ノード!B:B, ノード!A:A, "")</f>
        <v>4</v>
      </c>
      <c r="B11" s="50" t="s">
        <v>121</v>
      </c>
      <c r="C11" s="50" t="n">
        <v>6</v>
      </c>
      <c r="D11" s="50" t="n">
        <f aca="false">INT(D10*2.5)</f>
        <v>967</v>
      </c>
    </row>
    <row r="12" customFormat="false" ht="12.75" hidden="false" customHeight="false" outlineLevel="0" collapsed="false">
      <c r="A12" s="50" t="n">
        <f aca="false">_xlfn.XLOOKUP(B12, ノード!B:B, ノード!A:A, "")</f>
        <v>4</v>
      </c>
      <c r="B12" s="50" t="s">
        <v>121</v>
      </c>
      <c r="C12" s="50" t="n">
        <v>7</v>
      </c>
      <c r="D12" s="50" t="n">
        <f aca="false">INT(D11*2.5)</f>
        <v>2417</v>
      </c>
    </row>
    <row r="13" customFormat="false" ht="12.75" hidden="false" customHeight="false" outlineLevel="0" collapsed="false">
      <c r="A13" s="50" t="n">
        <f aca="false">_xlfn.XLOOKUP(B13, ノード!B:B, ノード!A:A, "")</f>
        <v>4</v>
      </c>
      <c r="B13" s="50" t="s">
        <v>121</v>
      </c>
      <c r="C13" s="50" t="n">
        <v>8</v>
      </c>
      <c r="D13" s="50" t="n">
        <f aca="false">INT(D12*2.5)</f>
        <v>6042</v>
      </c>
    </row>
    <row r="14" customFormat="false" ht="12.75" hidden="false" customHeight="false" outlineLevel="0" collapsed="false">
      <c r="A14" s="50" t="n">
        <f aca="false">_xlfn.XLOOKUP(B14, ノード!B:B, ノード!A:A, "")</f>
        <v>4</v>
      </c>
      <c r="B14" s="50" t="s">
        <v>121</v>
      </c>
      <c r="C14" s="50" t="n">
        <v>9</v>
      </c>
      <c r="D14" s="50" t="n">
        <f aca="false">INT(D13*2.5)</f>
        <v>15105</v>
      </c>
    </row>
    <row r="15" customFormat="false" ht="12.75" hidden="false" customHeight="false" outlineLevel="0" collapsed="false">
      <c r="A15" s="50" t="n">
        <f aca="false">_xlfn.XLOOKUP(B15, ノード!B:B, ノード!A:A, "")</f>
        <v>4</v>
      </c>
      <c r="B15" s="50" t="s">
        <v>121</v>
      </c>
      <c r="C15" s="50" t="n">
        <v>10</v>
      </c>
      <c r="D15" s="50" t="n">
        <f aca="false">INT(D14*2.5)</f>
        <v>37762</v>
      </c>
    </row>
    <row r="16" customFormat="false" ht="12.75" hidden="false" customHeight="false" outlineLevel="0" collapsed="false">
      <c r="A16" s="50" t="n">
        <f aca="false">_xlfn.XLOOKUP(B16, ノード!B:B, ノード!A:A, "")</f>
        <v>3</v>
      </c>
      <c r="B16" s="50" t="s">
        <v>120</v>
      </c>
      <c r="C16" s="50" t="n">
        <v>1</v>
      </c>
      <c r="D16" s="50" t="n">
        <v>20</v>
      </c>
    </row>
    <row r="17" customFormat="false" ht="12.75" hidden="false" customHeight="false" outlineLevel="0" collapsed="false">
      <c r="A17" s="50" t="n">
        <f aca="false">_xlfn.XLOOKUP(B17, ノード!B:B, ノード!A:A, "")</f>
        <v>3</v>
      </c>
      <c r="B17" s="50" t="s">
        <v>120</v>
      </c>
      <c r="C17" s="50" t="n">
        <v>2</v>
      </c>
      <c r="D17" s="50" t="n">
        <f aca="false">D16*2</f>
        <v>40</v>
      </c>
    </row>
    <row r="18" customFormat="false" ht="12.75" hidden="false" customHeight="false" outlineLevel="0" collapsed="false">
      <c r="A18" s="50" t="n">
        <f aca="false">_xlfn.XLOOKUP(B18, ノード!B:B, ノード!A:A, "")</f>
        <v>3</v>
      </c>
      <c r="B18" s="50" t="s">
        <v>120</v>
      </c>
      <c r="C18" s="50" t="n">
        <v>3</v>
      </c>
      <c r="D18" s="50" t="n">
        <f aca="false">D17*2</f>
        <v>80</v>
      </c>
    </row>
    <row r="19" customFormat="false" ht="12.75" hidden="false" customHeight="false" outlineLevel="0" collapsed="false">
      <c r="A19" s="50" t="n">
        <f aca="false">_xlfn.XLOOKUP(B19, ノード!B:B, ノード!A:A, "")</f>
        <v>3</v>
      </c>
      <c r="B19" s="50" t="s">
        <v>120</v>
      </c>
      <c r="C19" s="50" t="n">
        <v>4</v>
      </c>
      <c r="D19" s="50" t="n">
        <f aca="false">D18*2</f>
        <v>160</v>
      </c>
    </row>
    <row r="20" customFormat="false" ht="12.75" hidden="false" customHeight="false" outlineLevel="0" collapsed="false">
      <c r="A20" s="50" t="n">
        <f aca="false">_xlfn.XLOOKUP(B20, ノード!B:B, ノード!A:A, "")</f>
        <v>3</v>
      </c>
      <c r="B20" s="50" t="s">
        <v>120</v>
      </c>
      <c r="C20" s="50" t="n">
        <v>5</v>
      </c>
      <c r="D20" s="50" t="n">
        <f aca="false">D19*2</f>
        <v>320</v>
      </c>
    </row>
    <row r="21" customFormat="false" ht="12.75" hidden="false" customHeight="false" outlineLevel="0" collapsed="false">
      <c r="A21" s="50" t="n">
        <f aca="false">_xlfn.XLOOKUP(B21, ノード!B:B, ノード!A:A, "")</f>
        <v>3</v>
      </c>
      <c r="B21" s="50" t="s">
        <v>120</v>
      </c>
      <c r="C21" s="50" t="n">
        <v>6</v>
      </c>
      <c r="D21" s="50" t="n">
        <f aca="false">D20*2</f>
        <v>640</v>
      </c>
    </row>
    <row r="22" customFormat="false" ht="12.75" hidden="false" customHeight="false" outlineLevel="0" collapsed="false">
      <c r="A22" s="50" t="n">
        <f aca="false">_xlfn.XLOOKUP(B22, ノード!B:B, ノード!A:A, "")</f>
        <v>3</v>
      </c>
      <c r="B22" s="50" t="s">
        <v>120</v>
      </c>
      <c r="C22" s="50" t="n">
        <v>7</v>
      </c>
      <c r="D22" s="50" t="n">
        <f aca="false">D21*2</f>
        <v>1280</v>
      </c>
    </row>
    <row r="23" customFormat="false" ht="12.75" hidden="false" customHeight="false" outlineLevel="0" collapsed="false">
      <c r="A23" s="50" t="n">
        <f aca="false">_xlfn.XLOOKUP(B23, ノード!B:B, ノード!A:A, "")</f>
        <v>3</v>
      </c>
      <c r="B23" s="50" t="s">
        <v>120</v>
      </c>
      <c r="C23" s="50" t="n">
        <v>8</v>
      </c>
      <c r="D23" s="50" t="n">
        <f aca="false">D22*2</f>
        <v>2560</v>
      </c>
    </row>
    <row r="24" customFormat="false" ht="12.75" hidden="false" customHeight="false" outlineLevel="0" collapsed="false">
      <c r="A24" s="50" t="n">
        <f aca="false">_xlfn.XLOOKUP(B24, ノード!B:B, ノード!A:A, "")</f>
        <v>3</v>
      </c>
      <c r="B24" s="50" t="s">
        <v>120</v>
      </c>
      <c r="C24" s="50" t="n">
        <v>9</v>
      </c>
      <c r="D24" s="50" t="n">
        <f aca="false">D23*2</f>
        <v>5120</v>
      </c>
    </row>
    <row r="25" customFormat="false" ht="12.75" hidden="false" customHeight="false" outlineLevel="0" collapsed="false">
      <c r="A25" s="50" t="n">
        <f aca="false">_xlfn.XLOOKUP(B25, ノード!B:B, ノード!A:A, "")</f>
        <v>3</v>
      </c>
      <c r="B25" s="50" t="s">
        <v>120</v>
      </c>
      <c r="C25" s="50" t="n">
        <v>10</v>
      </c>
      <c r="D25" s="50" t="n">
        <f aca="false">D24*2</f>
        <v>10240</v>
      </c>
    </row>
    <row r="26" customFormat="false" ht="12.75" hidden="false" customHeight="false" outlineLevel="0" collapsed="false">
      <c r="A26" s="50" t="n">
        <f aca="false">_xlfn.XLOOKUP(B26, ノード!B:B, ノード!A:A, "")</f>
        <v>5</v>
      </c>
      <c r="B26" s="50" t="s">
        <v>122</v>
      </c>
      <c r="C26" s="50" t="n">
        <v>1</v>
      </c>
      <c r="D26" s="50" t="n">
        <v>0</v>
      </c>
    </row>
    <row r="27" customFormat="false" ht="12.75" hidden="false" customHeight="false" outlineLevel="0" collapsed="false">
      <c r="A27" s="50" t="n">
        <f aca="false">_xlfn.XLOOKUP(B27, ノード!B:B, ノード!A:A, "")</f>
        <v>6</v>
      </c>
      <c r="B27" s="50" t="s">
        <v>123</v>
      </c>
      <c r="C27" s="50" t="n">
        <v>1</v>
      </c>
      <c r="D27" s="50" t="n">
        <v>10</v>
      </c>
    </row>
    <row r="28" customFormat="false" ht="12.75" hidden="false" customHeight="false" outlineLevel="0" collapsed="false">
      <c r="A28" s="50" t="n">
        <f aca="false">_xlfn.XLOOKUP(B28, ノード!B:B, ノード!A:A, "")</f>
        <v>6</v>
      </c>
      <c r="B28" s="50" t="s">
        <v>123</v>
      </c>
      <c r="C28" s="50" t="n">
        <v>2</v>
      </c>
      <c r="D28" s="50" t="n">
        <f aca="false">INT(D27*1.5)</f>
        <v>15</v>
      </c>
    </row>
    <row r="29" customFormat="false" ht="12.75" hidden="false" customHeight="false" outlineLevel="0" collapsed="false">
      <c r="A29" s="50" t="n">
        <f aca="false">_xlfn.XLOOKUP(B29, ノード!B:B, ノード!A:A, "")</f>
        <v>6</v>
      </c>
      <c r="B29" s="50" t="s">
        <v>123</v>
      </c>
      <c r="C29" s="50" t="n">
        <v>3</v>
      </c>
      <c r="D29" s="50" t="n">
        <f aca="false">INT(D28*1.5)</f>
        <v>22</v>
      </c>
    </row>
    <row r="30" customFormat="false" ht="12.75" hidden="false" customHeight="false" outlineLevel="0" collapsed="false">
      <c r="A30" s="50" t="n">
        <f aca="false">_xlfn.XLOOKUP(B30, ノード!B:B, ノード!A:A, "")</f>
        <v>6</v>
      </c>
      <c r="B30" s="50" t="s">
        <v>123</v>
      </c>
      <c r="C30" s="50" t="n">
        <v>4</v>
      </c>
      <c r="D30" s="50" t="n">
        <f aca="false">INT(D29*1.5)</f>
        <v>33</v>
      </c>
    </row>
    <row r="31" customFormat="false" ht="12.75" hidden="false" customHeight="false" outlineLevel="0" collapsed="false">
      <c r="A31" s="50" t="n">
        <f aca="false">_xlfn.XLOOKUP(B31, ノード!B:B, ノード!A:A, "")</f>
        <v>6</v>
      </c>
      <c r="B31" s="50" t="s">
        <v>123</v>
      </c>
      <c r="C31" s="50" t="n">
        <v>5</v>
      </c>
      <c r="D31" s="50" t="n">
        <f aca="false">INT(D30*1.5)</f>
        <v>49</v>
      </c>
    </row>
    <row r="32" customFormat="false" ht="12.75" hidden="false" customHeight="false" outlineLevel="0" collapsed="false">
      <c r="A32" s="50" t="n">
        <f aca="false">_xlfn.XLOOKUP(B32, ノード!B:B, ノード!A:A, "")</f>
        <v>6</v>
      </c>
      <c r="B32" s="50" t="s">
        <v>123</v>
      </c>
      <c r="C32" s="50" t="n">
        <v>6</v>
      </c>
      <c r="D32" s="50" t="n">
        <f aca="false">INT(D31*1.5)</f>
        <v>73</v>
      </c>
    </row>
    <row r="33" customFormat="false" ht="12.75" hidden="false" customHeight="false" outlineLevel="0" collapsed="false">
      <c r="A33" s="50" t="n">
        <f aca="false">_xlfn.XLOOKUP(B33, ノード!B:B, ノード!A:A, "")</f>
        <v>6</v>
      </c>
      <c r="B33" s="50" t="s">
        <v>123</v>
      </c>
      <c r="C33" s="50" t="n">
        <v>7</v>
      </c>
      <c r="D33" s="50" t="n">
        <f aca="false">INT(D32*1.5)</f>
        <v>109</v>
      </c>
    </row>
    <row r="34" customFormat="false" ht="12.75" hidden="false" customHeight="false" outlineLevel="0" collapsed="false">
      <c r="A34" s="50" t="n">
        <f aca="false">_xlfn.XLOOKUP(B34, ノード!B:B, ノード!A:A, "")</f>
        <v>6</v>
      </c>
      <c r="B34" s="50" t="s">
        <v>123</v>
      </c>
      <c r="C34" s="50" t="n">
        <v>8</v>
      </c>
      <c r="D34" s="50" t="n">
        <f aca="false">INT(D33*1.5)</f>
        <v>163</v>
      </c>
    </row>
    <row r="35" customFormat="false" ht="12.75" hidden="false" customHeight="false" outlineLevel="0" collapsed="false">
      <c r="A35" s="50" t="n">
        <f aca="false">_xlfn.XLOOKUP(B35, ノード!B:B, ノード!A:A, "")</f>
        <v>6</v>
      </c>
      <c r="B35" s="50" t="s">
        <v>123</v>
      </c>
      <c r="C35" s="50" t="n">
        <v>9</v>
      </c>
      <c r="D35" s="50" t="n">
        <f aca="false">INT(D34*1.5)</f>
        <v>244</v>
      </c>
    </row>
    <row r="36" customFormat="false" ht="12.75" hidden="false" customHeight="false" outlineLevel="0" collapsed="false">
      <c r="A36" s="50" t="n">
        <f aca="false">_xlfn.XLOOKUP(B36, ノード!B:B, ノード!A:A, "")</f>
        <v>7</v>
      </c>
      <c r="B36" s="50" t="s">
        <v>124</v>
      </c>
      <c r="C36" s="50" t="n">
        <v>1</v>
      </c>
      <c r="D36" s="50" t="n">
        <v>10</v>
      </c>
    </row>
    <row r="37" customFormat="false" ht="12.75" hidden="false" customHeight="false" outlineLevel="0" collapsed="false">
      <c r="A37" s="50" t="n">
        <f aca="false">_xlfn.XLOOKUP(B37, ノード!B:B, ノード!A:A, "")</f>
        <v>7</v>
      </c>
      <c r="B37" s="50" t="s">
        <v>124</v>
      </c>
      <c r="C37" s="50" t="n">
        <v>2</v>
      </c>
      <c r="D37" s="50" t="n">
        <f aca="false">INT(D36*2)</f>
        <v>20</v>
      </c>
    </row>
    <row r="38" customFormat="false" ht="12.75" hidden="false" customHeight="false" outlineLevel="0" collapsed="false">
      <c r="A38" s="50" t="n">
        <f aca="false">_xlfn.XLOOKUP(B38, ノード!B:B, ノード!A:A, "")</f>
        <v>7</v>
      </c>
      <c r="B38" s="50" t="s">
        <v>124</v>
      </c>
      <c r="C38" s="50" t="n">
        <v>3</v>
      </c>
      <c r="D38" s="50" t="n">
        <f aca="false">INT(D37*2)</f>
        <v>40</v>
      </c>
    </row>
    <row r="39" customFormat="false" ht="12.75" hidden="false" customHeight="false" outlineLevel="0" collapsed="false">
      <c r="A39" s="50" t="n">
        <f aca="false">_xlfn.XLOOKUP(B39, ノード!B:B, ノード!A:A, "")</f>
        <v>7</v>
      </c>
      <c r="B39" s="50" t="s">
        <v>124</v>
      </c>
      <c r="C39" s="50" t="n">
        <v>4</v>
      </c>
      <c r="D39" s="50" t="n">
        <f aca="false">INT(D38*2)</f>
        <v>80</v>
      </c>
    </row>
    <row r="40" customFormat="false" ht="12.75" hidden="false" customHeight="false" outlineLevel="0" collapsed="false">
      <c r="A40" s="50" t="n">
        <f aca="false">_xlfn.XLOOKUP(B40, ノード!B:B, ノード!A:A, "")</f>
        <v>7</v>
      </c>
      <c r="B40" s="50" t="s">
        <v>124</v>
      </c>
      <c r="C40" s="50" t="n">
        <v>5</v>
      </c>
      <c r="D40" s="50" t="n">
        <f aca="false">INT(D39*2)</f>
        <v>160</v>
      </c>
    </row>
    <row r="41" customFormat="false" ht="12.75" hidden="false" customHeight="false" outlineLevel="0" collapsed="false">
      <c r="A41" s="50" t="n">
        <f aca="false">_xlfn.XLOOKUP(B41, ノード!B:B, ノード!A:A, "")</f>
        <v>7</v>
      </c>
      <c r="B41" s="50" t="s">
        <v>124</v>
      </c>
      <c r="C41" s="50" t="n">
        <v>6</v>
      </c>
      <c r="D41" s="50" t="n">
        <f aca="false">INT(D40*2)</f>
        <v>320</v>
      </c>
    </row>
    <row r="42" customFormat="false" ht="12.75" hidden="false" customHeight="false" outlineLevel="0" collapsed="false">
      <c r="A42" s="50" t="n">
        <f aca="false">_xlfn.XLOOKUP(B42, ノード!B:B, ノード!A:A, "")</f>
        <v>7</v>
      </c>
      <c r="B42" s="50" t="s">
        <v>124</v>
      </c>
      <c r="C42" s="50" t="n">
        <v>7</v>
      </c>
      <c r="D42" s="50" t="n">
        <f aca="false">INT(D41*2)</f>
        <v>640</v>
      </c>
    </row>
    <row r="43" customFormat="false" ht="12.75" hidden="false" customHeight="false" outlineLevel="0" collapsed="false">
      <c r="A43" s="50" t="n">
        <f aca="false">_xlfn.XLOOKUP(B43, ノード!B:B, ノード!A:A, "")</f>
        <v>7</v>
      </c>
      <c r="B43" s="50" t="s">
        <v>124</v>
      </c>
      <c r="C43" s="50" t="n">
        <v>8</v>
      </c>
      <c r="D43" s="50" t="n">
        <f aca="false">INT(D42*2)</f>
        <v>1280</v>
      </c>
    </row>
    <row r="44" customFormat="false" ht="12.75" hidden="false" customHeight="false" outlineLevel="0" collapsed="false">
      <c r="A44" s="50" t="n">
        <f aca="false">_xlfn.XLOOKUP(B44, ノード!B:B, ノード!A:A, "")</f>
        <v>7</v>
      </c>
      <c r="B44" s="50" t="s">
        <v>124</v>
      </c>
      <c r="C44" s="50" t="n">
        <v>9</v>
      </c>
      <c r="D44" s="50" t="n">
        <f aca="false">INT(D43*2)</f>
        <v>2560</v>
      </c>
    </row>
    <row r="45" customFormat="false" ht="12.75" hidden="false" customHeight="false" outlineLevel="0" collapsed="false">
      <c r="A45" s="50" t="n">
        <f aca="false">_xlfn.XLOOKUP(B45, ノード!B:B, ノード!A:A, "")</f>
        <v>7</v>
      </c>
      <c r="B45" s="50" t="s">
        <v>124</v>
      </c>
      <c r="C45" s="50" t="n">
        <v>10</v>
      </c>
      <c r="D45" s="50" t="n">
        <f aca="false">INT(D44*2)</f>
        <v>5120</v>
      </c>
    </row>
    <row r="46" customFormat="false" ht="12.75" hidden="false" customHeight="false" outlineLevel="0" collapsed="false">
      <c r="A46" s="50" t="n">
        <f aca="false">_xlfn.XLOOKUP(B46, ノード!B:B, ノード!A:A, "")</f>
        <v>10</v>
      </c>
      <c r="B46" s="50" t="s">
        <v>127</v>
      </c>
      <c r="C46" s="50" t="n">
        <v>1</v>
      </c>
      <c r="D46" s="50" t="n">
        <v>10</v>
      </c>
    </row>
    <row r="47" customFormat="false" ht="12.75" hidden="false" customHeight="false" outlineLevel="0" collapsed="false">
      <c r="A47" s="50" t="n">
        <f aca="false">_xlfn.XLOOKUP(B47, ノード!B:B, ノード!A:A, "")</f>
        <v>10</v>
      </c>
      <c r="B47" s="50" t="s">
        <v>127</v>
      </c>
      <c r="C47" s="50" t="n">
        <v>2</v>
      </c>
      <c r="D47" s="50" t="n">
        <f aca="false">INT(D46*2)</f>
        <v>20</v>
      </c>
    </row>
    <row r="48" customFormat="false" ht="12.75" hidden="false" customHeight="false" outlineLevel="0" collapsed="false">
      <c r="A48" s="50" t="n">
        <f aca="false">_xlfn.XLOOKUP(B48, ノード!B:B, ノード!A:A, "")</f>
        <v>10</v>
      </c>
      <c r="B48" s="50" t="s">
        <v>127</v>
      </c>
      <c r="C48" s="50" t="n">
        <v>3</v>
      </c>
      <c r="D48" s="50" t="n">
        <f aca="false">INT(D47*2)</f>
        <v>40</v>
      </c>
    </row>
    <row r="49" customFormat="false" ht="12.75" hidden="false" customHeight="false" outlineLevel="0" collapsed="false">
      <c r="A49" s="50" t="n">
        <f aca="false">_xlfn.XLOOKUP(B49, ノード!B:B, ノード!A:A, "")</f>
        <v>10</v>
      </c>
      <c r="B49" s="50" t="s">
        <v>127</v>
      </c>
      <c r="C49" s="50" t="n">
        <v>4</v>
      </c>
      <c r="D49" s="50" t="n">
        <f aca="false">INT(D48*2)</f>
        <v>80</v>
      </c>
    </row>
    <row r="50" customFormat="false" ht="12.75" hidden="false" customHeight="false" outlineLevel="0" collapsed="false">
      <c r="A50" s="50" t="n">
        <f aca="false">_xlfn.XLOOKUP(B50, ノード!B:B, ノード!A:A, "")</f>
        <v>10</v>
      </c>
      <c r="B50" s="50" t="s">
        <v>127</v>
      </c>
      <c r="C50" s="50" t="n">
        <v>5</v>
      </c>
      <c r="D50" s="50" t="n">
        <f aca="false">INT(D49*2)</f>
        <v>160</v>
      </c>
    </row>
    <row r="51" customFormat="false" ht="12.75" hidden="false" customHeight="false" outlineLevel="0" collapsed="false">
      <c r="A51" s="50" t="n">
        <f aca="false">_xlfn.XLOOKUP(B51, ノード!B:B, ノード!A:A, "")</f>
        <v>10</v>
      </c>
      <c r="B51" s="50" t="s">
        <v>127</v>
      </c>
      <c r="C51" s="50" t="n">
        <v>6</v>
      </c>
      <c r="D51" s="50" t="n">
        <f aca="false">INT(D50*2)</f>
        <v>320</v>
      </c>
    </row>
    <row r="52" customFormat="false" ht="12.75" hidden="false" customHeight="false" outlineLevel="0" collapsed="false">
      <c r="A52" s="50" t="n">
        <f aca="false">_xlfn.XLOOKUP(B52, ノード!B:B, ノード!A:A, "")</f>
        <v>10</v>
      </c>
      <c r="B52" s="50" t="s">
        <v>127</v>
      </c>
      <c r="C52" s="50" t="n">
        <v>7</v>
      </c>
      <c r="D52" s="50" t="n">
        <f aca="false">INT(D51*2)</f>
        <v>640</v>
      </c>
    </row>
    <row r="53" customFormat="false" ht="12.75" hidden="false" customHeight="false" outlineLevel="0" collapsed="false">
      <c r="A53" s="50" t="n">
        <f aca="false">_xlfn.XLOOKUP(B53, ノード!B:B, ノード!A:A, "")</f>
        <v>10</v>
      </c>
      <c r="B53" s="50" t="s">
        <v>127</v>
      </c>
      <c r="C53" s="50" t="n">
        <v>8</v>
      </c>
      <c r="D53" s="50" t="n">
        <f aca="false">INT(D52*2)</f>
        <v>1280</v>
      </c>
    </row>
    <row r="54" customFormat="false" ht="12.75" hidden="false" customHeight="false" outlineLevel="0" collapsed="false">
      <c r="A54" s="50" t="n">
        <f aca="false">_xlfn.XLOOKUP(B54, ノード!B:B, ノード!A:A, "")</f>
        <v>10</v>
      </c>
      <c r="B54" s="50" t="s">
        <v>127</v>
      </c>
      <c r="C54" s="50" t="n">
        <v>9</v>
      </c>
      <c r="D54" s="50" t="n">
        <f aca="false">INT(D53*2)</f>
        <v>2560</v>
      </c>
    </row>
    <row r="55" customFormat="false" ht="12.75" hidden="false" customHeight="false" outlineLevel="0" collapsed="false">
      <c r="A55" s="50" t="n">
        <f aca="false">_xlfn.XLOOKUP(B55, ノード!B:B, ノード!A:A, "")</f>
        <v>10</v>
      </c>
      <c r="B55" s="50" t="s">
        <v>127</v>
      </c>
      <c r="C55" s="50" t="n">
        <v>10</v>
      </c>
      <c r="D55" s="50" t="n">
        <f aca="false">INT(D54*2)</f>
        <v>5120</v>
      </c>
    </row>
    <row r="56" customFormat="false" ht="12.75" hidden="false" customHeight="false" outlineLevel="0" collapsed="false">
      <c r="A56" s="46" t="s">
        <v>111</v>
      </c>
      <c r="B56" s="46"/>
      <c r="C56" s="46"/>
      <c r="D56" s="46"/>
    </row>
    <row r="57" customFormat="false" ht="13.8" hidden="false" customHeight="false" outlineLevel="0" collapsed="false"/>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c r="A61" s="59" t="s">
        <v>112</v>
      </c>
    </row>
    <row r="62" customFormat="false" ht="13.8" hidden="false" customHeight="false" outlineLevel="0" collapsed="false">
      <c r="A62" s="44" t="s">
        <v>132</v>
      </c>
    </row>
  </sheetData>
  <dataValidations count="1">
    <dataValidation allowBlank="true" errorStyle="stop" operator="between" showDropDown="false" showErrorMessage="true" showInputMessage="true" sqref="B6:B55"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22" activeCellId="0" sqref="E22"/>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92</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93</v>
      </c>
      <c r="B4" s="60" t="s">
        <v>94</v>
      </c>
      <c r="C4" s="47" t="s">
        <v>133</v>
      </c>
      <c r="D4" s="47" t="s">
        <v>134</v>
      </c>
      <c r="E4" s="48" t="s">
        <v>135</v>
      </c>
      <c r="F4" s="48" t="s">
        <v>136</v>
      </c>
      <c r="G4" s="48" t="s">
        <v>137</v>
      </c>
      <c r="H4" s="48" t="s">
        <v>138</v>
      </c>
      <c r="I4" s="48" t="s">
        <v>139</v>
      </c>
      <c r="J4" s="48" t="s">
        <v>140</v>
      </c>
      <c r="K4" s="48" t="s">
        <v>141</v>
      </c>
      <c r="L4" s="48" t="s">
        <v>142</v>
      </c>
      <c r="M4" s="48" t="s">
        <v>143</v>
      </c>
      <c r="N4" s="48" t="s">
        <v>144</v>
      </c>
      <c r="O4" s="61" t="s">
        <v>145</v>
      </c>
      <c r="P4" s="61" t="s">
        <v>146</v>
      </c>
      <c r="Q4" s="61" t="s">
        <v>147</v>
      </c>
      <c r="R4" s="61" t="s">
        <v>148</v>
      </c>
    </row>
    <row r="5" customFormat="false" ht="13.8" hidden="false" customHeight="false" outlineLevel="0" collapsed="false">
      <c r="A5" s="49" t="s">
        <v>99</v>
      </c>
      <c r="B5" s="49" t="s">
        <v>100</v>
      </c>
      <c r="C5" s="49" t="s">
        <v>149</v>
      </c>
      <c r="D5" s="49" t="s">
        <v>150</v>
      </c>
      <c r="E5" s="49"/>
      <c r="F5" s="49"/>
      <c r="G5" s="49"/>
      <c r="H5" s="49"/>
      <c r="I5" s="49"/>
      <c r="J5" s="49"/>
      <c r="K5" s="49"/>
      <c r="L5" s="49"/>
      <c r="M5" s="49"/>
      <c r="N5" s="49"/>
      <c r="O5" s="62" t="s">
        <v>151</v>
      </c>
      <c r="P5" s="62" t="s">
        <v>152</v>
      </c>
      <c r="Q5" s="62" t="s">
        <v>153</v>
      </c>
      <c r="R5" s="62" t="s">
        <v>154</v>
      </c>
    </row>
    <row r="6" customFormat="false" ht="13.8" hidden="false" customHeight="false" outlineLevel="0" collapsed="false">
      <c r="A6" s="50" t="n">
        <f aca="false">_xlfn.XLOOKUP(B6, ノード!B:B, ノード!A:A, "")</f>
        <v>1</v>
      </c>
      <c r="B6" s="50" t="s">
        <v>118</v>
      </c>
      <c r="C6" s="50" t="n">
        <v>0</v>
      </c>
      <c r="D6" s="50" t="n">
        <v>1000</v>
      </c>
      <c r="E6" s="50"/>
      <c r="F6" s="50"/>
      <c r="G6" s="50"/>
      <c r="H6" s="50"/>
      <c r="I6" s="50"/>
      <c r="J6" s="50"/>
      <c r="K6" s="50"/>
      <c r="L6" s="50"/>
      <c r="M6" s="50" t="s">
        <v>105</v>
      </c>
      <c r="N6" s="50" t="n">
        <v>4</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[4]</v>
      </c>
      <c r="S6" s="45" t="str">
        <f aca="false">IFERROR(N6/(F6+H6+J6+L6),"-")</f>
        <v>-</v>
      </c>
    </row>
    <row r="7" customFormat="false" ht="13.8" hidden="false" customHeight="false" outlineLevel="0" collapsed="false">
      <c r="A7" s="50" t="n">
        <f aca="false">_xlfn.XLOOKUP(B7, ノード!B:B, ノード!A:A, "")</f>
        <v>2</v>
      </c>
      <c r="B7" s="50" t="s">
        <v>119</v>
      </c>
      <c r="C7" s="50" t="n">
        <v>0</v>
      </c>
      <c r="D7" s="50" t="n">
        <v>1000</v>
      </c>
      <c r="E7" s="50"/>
      <c r="F7" s="50"/>
      <c r="G7" s="50"/>
      <c r="H7" s="50"/>
      <c r="I7" s="50"/>
      <c r="J7" s="50"/>
      <c r="K7" s="50"/>
      <c r="L7" s="50"/>
      <c r="M7" s="50" t="s">
        <v>106</v>
      </c>
      <c r="N7" s="50" t="n">
        <v>4</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[4]</v>
      </c>
      <c r="S7" s="45" t="str">
        <f aca="false">IFERROR(N7/(F7+H7+J7+L7),"-")</f>
        <v>-</v>
      </c>
    </row>
    <row r="8" customFormat="false" ht="13.8" hidden="false" customHeight="false" outlineLevel="0" collapsed="false">
      <c r="A8" s="50" t="n">
        <f aca="false">_xlfn.XLOOKUP(B8, ノード!B:B, ノード!A:A, "")</f>
        <v>3</v>
      </c>
      <c r="B8" s="50" t="s">
        <v>120</v>
      </c>
      <c r="C8" s="50" t="n">
        <v>1</v>
      </c>
      <c r="D8" s="50" t="n">
        <v>1000</v>
      </c>
      <c r="E8" s="50" t="s">
        <v>105</v>
      </c>
      <c r="F8" s="50" t="n">
        <v>2</v>
      </c>
      <c r="G8" s="50"/>
      <c r="H8" s="50"/>
      <c r="I8" s="50"/>
      <c r="J8" s="50"/>
      <c r="K8" s="50"/>
      <c r="L8" s="50"/>
      <c r="M8" s="50" t="s">
        <v>107</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120</v>
      </c>
      <c r="C9" s="50" t="n">
        <v>2</v>
      </c>
      <c r="D9" s="50" t="n">
        <v>2000</v>
      </c>
      <c r="E9" s="50" t="s">
        <v>105</v>
      </c>
      <c r="F9" s="50" t="n">
        <v>4</v>
      </c>
      <c r="G9" s="50" t="s">
        <v>108</v>
      </c>
      <c r="H9" s="50" t="n">
        <v>1</v>
      </c>
      <c r="I9" s="50"/>
      <c r="J9" s="50"/>
      <c r="K9" s="50"/>
      <c r="L9" s="50"/>
      <c r="M9" s="50" t="s">
        <v>107</v>
      </c>
      <c r="N9" s="50" t="n">
        <v>10</v>
      </c>
      <c r="O9" s="63" t="str">
        <f aca="false">"[" &amp; _xlfn.TEXTJOIN(",", 1,   IFERROR(INDEX(素材!A:A, MATCH(E9, 素材!B:B, 0)), ""),   IFERROR(INDEX(素材!A:A, MATCH(G9, 素材!B:B, 0)), ""),   IFERROR(INDEX(素材!A:A, MATCH(I9, 素材!B:B, 0)), ""),   IFERROR(INDEX(素材!A:A, MATCH(K9, 素材!B:B, 0)), "") ) &amp; "]"</f>
        <v>[2,5]</v>
      </c>
      <c r="P9" s="63" t="str">
        <f aca="false">"[" &amp; _xlfn.TEXTJOIN(",", 1,   IF(ISNUMBER(MATCH(E9, 素材!B:B, 0)), F9, ""),   IF(ISNUMBER(MATCH(G9, 素材!B:B, 0)), H9, ""),   IF(ISNUMBER(MATCH(I9, 素材!B:B, 0)), J9, ""),   IF(ISNUMBER(MATCH(K9, 素材!B:B, 0)), L9, "") ) &amp; "]"</f>
        <v>[4,1]</v>
      </c>
      <c r="Q9" s="63" t="str">
        <f aca="false">"[" &amp; _xlfn.TEXTJOIN(",", 1,   IFERROR(INDEX(素材!A:A, MATCH(M9, 素材!B:B, 0)), "") ) &amp; "]"</f>
        <v>[4]</v>
      </c>
      <c r="R9" s="64" t="str">
        <f aca="false">"[" &amp; _xlfn.TEXTJOIN(",", 1, IF(ISNUMBER(MATCH(M9, 素材!B:B, 0)), N9, "") ) &amp; "]"</f>
        <v>[10]</v>
      </c>
      <c r="S9" s="45" t="n">
        <f aca="false">IFERROR(N9/(F9+H9+J9+L9),"-")</f>
        <v>2</v>
      </c>
    </row>
    <row r="10" customFormat="false" ht="13.8" hidden="false" customHeight="false" outlineLevel="0" collapsed="false">
      <c r="A10" s="50" t="n">
        <f aca="false">_xlfn.XLOOKUP(B10, ノード!B:B, ノード!A:A, "")</f>
        <v>3</v>
      </c>
      <c r="B10" s="50" t="s">
        <v>120</v>
      </c>
      <c r="C10" s="50" t="n">
        <v>3</v>
      </c>
      <c r="D10" s="50" t="n">
        <v>3000</v>
      </c>
      <c r="E10" s="50" t="s">
        <v>105</v>
      </c>
      <c r="F10" s="50" t="n">
        <v>6</v>
      </c>
      <c r="G10" s="50" t="s">
        <v>108</v>
      </c>
      <c r="H10" s="50" t="n">
        <v>3</v>
      </c>
      <c r="I10" s="50" t="s">
        <v>109</v>
      </c>
      <c r="J10" s="50" t="n">
        <v>1</v>
      </c>
      <c r="K10" s="50"/>
      <c r="L10" s="50"/>
      <c r="M10" s="50" t="s">
        <v>107</v>
      </c>
      <c r="N10" s="50" t="n">
        <v>20</v>
      </c>
      <c r="O10" s="63" t="str">
        <f aca="false">"[" &amp; _xlfn.TEXTJOIN(",", 1,   IFERROR(INDEX(素材!A:A, MATCH(E10, 素材!B:B, 0)), ""),   IFERROR(INDEX(素材!A:A, MATCH(G10, 素材!B:B, 0)), ""),   IFERROR(INDEX(素材!A:A, MATCH(I10, 素材!B:B, 0)), ""),   IFERROR(INDEX(素材!A:A, MATCH(K10, 素材!B:B, 0)), "") ) &amp; "]"</f>
        <v>[2,5,6]</v>
      </c>
      <c r="P10" s="63" t="str">
        <f aca="false">"[" &amp; _xlfn.TEXTJOIN(",", 1,   IF(ISNUMBER(MATCH(E10, 素材!B:B, 0)), F10, ""),   IF(ISNUMBER(MATCH(G10, 素材!B:B, 0)), H10, ""),   IF(ISNUMBER(MATCH(I10, 素材!B:B, 0)), J10, ""),   IF(ISNUMBER(MATCH(K10, 素材!B:B, 0)), L10, "") ) &amp; "]"</f>
        <v>[6,3,1]</v>
      </c>
      <c r="Q10" s="63" t="str">
        <f aca="false">"[" &amp; _xlfn.TEXTJOIN(",", 1,   IFERROR(INDEX(素材!A:A, MATCH(M10, 素材!B:B, 0)), "") ) &amp; "]"</f>
        <v>[4]</v>
      </c>
      <c r="R10" s="64" t="str">
        <f aca="false">"[" &amp; _xlfn.TEXTJOIN(",", 1, IF(ISNUMBER(MATCH(M10, 素材!B:B, 0)), N10, "") ) &amp; "]"</f>
        <v>[20]</v>
      </c>
      <c r="S10" s="45" t="n">
        <f aca="false">IFERROR(N10/(F10+H10+J10+L10),"-")</f>
        <v>2</v>
      </c>
    </row>
    <row r="11" customFormat="false" ht="13.8" hidden="false" customHeight="false" outlineLevel="0" collapsed="false">
      <c r="A11" s="50" t="n">
        <f aca="false">_xlfn.XLOOKUP(B11, ノード!B:B, ノード!A:A, "")</f>
        <v>3</v>
      </c>
      <c r="B11" s="50" t="s">
        <v>120</v>
      </c>
      <c r="C11" s="50" t="n">
        <v>4</v>
      </c>
      <c r="D11" s="50" t="n">
        <v>4000</v>
      </c>
      <c r="E11" s="50" t="s">
        <v>105</v>
      </c>
      <c r="F11" s="50" t="n">
        <v>8</v>
      </c>
      <c r="G11" s="50" t="s">
        <v>108</v>
      </c>
      <c r="H11" s="50" t="n">
        <v>4</v>
      </c>
      <c r="I11" s="50" t="s">
        <v>109</v>
      </c>
      <c r="J11" s="50" t="n">
        <v>2</v>
      </c>
      <c r="K11" s="50"/>
      <c r="L11" s="50"/>
      <c r="M11" s="50" t="s">
        <v>107</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[8,4,2]</v>
      </c>
      <c r="Q11" s="63" t="str">
        <f aca="false">"[" &amp; _xlfn.TEXTJOIN(",", 1,   IFERROR(INDEX(素材!A:A, MATCH(M11, 素材!B:B, 0)), "") ) &amp; "]"</f>
        <v>[4]</v>
      </c>
      <c r="R11" s="64" t="str">
        <f aca="false">"[" &amp; _xlfn.TEXTJOIN(",", 1, IF(ISNUMBER(MATCH(M11, 素材!B:B, 0)), N11, "") ) &amp; "]"</f>
        <v>[30]</v>
      </c>
      <c r="S11" s="45" t="n">
        <f aca="false">IFERROR(N11/(F11+H11+J11+L11),"-")</f>
        <v>2.14285714285714</v>
      </c>
    </row>
    <row r="12" customFormat="false" ht="13.8" hidden="false" customHeight="false" outlineLevel="0" collapsed="false">
      <c r="A12" s="50" t="n">
        <f aca="false">_xlfn.XLOOKUP(B12, ノード!B:B, ノード!A:A, "")</f>
        <v>3</v>
      </c>
      <c r="B12" s="50" t="s">
        <v>120</v>
      </c>
      <c r="C12" s="50" t="n">
        <v>5</v>
      </c>
      <c r="D12" s="50" t="n">
        <v>5000</v>
      </c>
      <c r="E12" s="50" t="s">
        <v>105</v>
      </c>
      <c r="F12" s="50" t="n">
        <v>10</v>
      </c>
      <c r="G12" s="50" t="s">
        <v>108</v>
      </c>
      <c r="H12" s="50" t="n">
        <v>5</v>
      </c>
      <c r="I12" s="50" t="s">
        <v>109</v>
      </c>
      <c r="J12" s="50" t="n">
        <v>4</v>
      </c>
      <c r="K12" s="50"/>
      <c r="L12" s="50"/>
      <c r="M12" s="50" t="s">
        <v>107</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[10,5,4]</v>
      </c>
      <c r="Q12" s="63" t="str">
        <f aca="false">"[" &amp; _xlfn.TEXTJOIN(",", 1,   IFERROR(INDEX(素材!A:A, MATCH(M12, 素材!B:B, 0)), "") ) &amp; "]"</f>
        <v>[4]</v>
      </c>
      <c r="R12" s="64" t="str">
        <f aca="false">"[" &amp; _xlfn.TEXTJOIN(",", 1, IF(ISNUMBER(MATCH(M12, 素材!B:B, 0)), N12, "") ) &amp; "]"</f>
        <v>[55]</v>
      </c>
      <c r="S12" s="45" t="n">
        <f aca="false">IFERROR(N12/(F12+H12+J12+L12),"-")</f>
        <v>2.89473684210526</v>
      </c>
    </row>
    <row r="13" customFormat="false" ht="13.8" hidden="false" customHeight="false" outlineLevel="0" collapsed="false">
      <c r="A13" s="50" t="n">
        <f aca="false">_xlfn.XLOOKUP(B13, ノード!B:B, ノード!A:A, "")</f>
        <v>3</v>
      </c>
      <c r="B13" s="50" t="s">
        <v>120</v>
      </c>
      <c r="C13" s="50" t="n">
        <v>6</v>
      </c>
      <c r="D13" s="50" t="n">
        <v>6000</v>
      </c>
      <c r="E13" s="50" t="s">
        <v>105</v>
      </c>
      <c r="F13" s="50" t="n">
        <v>12</v>
      </c>
      <c r="G13" s="50" t="s">
        <v>108</v>
      </c>
      <c r="H13" s="50" t="n">
        <v>6</v>
      </c>
      <c r="I13" s="50" t="s">
        <v>109</v>
      </c>
      <c r="J13" s="50" t="n">
        <v>7</v>
      </c>
      <c r="K13" s="50"/>
      <c r="L13" s="50"/>
      <c r="M13" s="50" t="s">
        <v>107</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[12,6,7]</v>
      </c>
      <c r="Q13" s="63" t="str">
        <f aca="false">"[" &amp; _xlfn.TEXTJOIN(",", 1,   IFERROR(INDEX(素材!A:A, MATCH(M13, 素材!B:B, 0)), "") ) &amp; "]"</f>
        <v>[4]</v>
      </c>
      <c r="R13" s="64" t="str">
        <f aca="false">"[" &amp; _xlfn.TEXTJOIN(",", 1, IF(ISNUMBER(MATCH(M13, 素材!B:B, 0)), N13, "") ) &amp; "]"</f>
        <v>[75]</v>
      </c>
      <c r="S13" s="45" t="n">
        <f aca="false">IFERROR(N13/(F13+H13+J13+L13),"-")</f>
        <v>3</v>
      </c>
    </row>
    <row r="14" customFormat="false" ht="13.8" hidden="false" customHeight="false" outlineLevel="0" collapsed="false">
      <c r="A14" s="50" t="n">
        <f aca="false">_xlfn.XLOOKUP(B14, ノード!B:B, ノード!A:A, "")</f>
        <v>3</v>
      </c>
      <c r="B14" s="50" t="s">
        <v>120</v>
      </c>
      <c r="C14" s="50" t="n">
        <v>7</v>
      </c>
      <c r="D14" s="50" t="n">
        <v>7000</v>
      </c>
      <c r="E14" s="50" t="s">
        <v>105</v>
      </c>
      <c r="F14" s="50" t="n">
        <v>14</v>
      </c>
      <c r="G14" s="50" t="s">
        <v>108</v>
      </c>
      <c r="H14" s="50" t="n">
        <v>7</v>
      </c>
      <c r="I14" s="50" t="s">
        <v>109</v>
      </c>
      <c r="J14" s="50" t="n">
        <v>11</v>
      </c>
      <c r="K14" s="50"/>
      <c r="L14" s="50"/>
      <c r="M14" s="50" t="s">
        <v>107</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[14,7,11]</v>
      </c>
      <c r="Q14" s="63" t="str">
        <f aca="false">"[" &amp; _xlfn.TEXTJOIN(",", 1,   IFERROR(INDEX(素材!A:A, MATCH(M14, 素材!B:B, 0)), "") ) &amp; "]"</f>
        <v>[4]</v>
      </c>
      <c r="R14" s="64" t="str">
        <f aca="false">"[" &amp; _xlfn.TEXTJOIN(",", 1, IF(ISNUMBER(MATCH(M14, 素材!B:B, 0)), N14, "") ) &amp; "]"</f>
        <v>[100]</v>
      </c>
      <c r="S14" s="45" t="n">
        <f aca="false">IFERROR(N14/(F14+H14+J14+L14),"-")</f>
        <v>3.125</v>
      </c>
    </row>
    <row r="15" customFormat="false" ht="13.8" hidden="false" customHeight="false" outlineLevel="0" collapsed="false">
      <c r="A15" s="50" t="n">
        <f aca="false">_xlfn.XLOOKUP(B15, ノード!B:B, ノード!A:A, "")</f>
        <v>3</v>
      </c>
      <c r="B15" s="50" t="s">
        <v>120</v>
      </c>
      <c r="C15" s="50" t="n">
        <v>8</v>
      </c>
      <c r="D15" s="50" t="n">
        <v>8000</v>
      </c>
      <c r="E15" s="50" t="s">
        <v>105</v>
      </c>
      <c r="F15" s="50" t="n">
        <v>16</v>
      </c>
      <c r="G15" s="50" t="s">
        <v>108</v>
      </c>
      <c r="H15" s="50" t="n">
        <v>8</v>
      </c>
      <c r="I15" s="50" t="s">
        <v>109</v>
      </c>
      <c r="J15" s="50" t="n">
        <v>16</v>
      </c>
      <c r="K15" s="50"/>
      <c r="L15" s="50"/>
      <c r="M15" s="50" t="s">
        <v>107</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[16,8,16]</v>
      </c>
      <c r="Q15" s="63" t="str">
        <f aca="false">"[" &amp; _xlfn.TEXTJOIN(",", 1,   IFERROR(INDEX(素材!A:A, MATCH(M15, 素材!B:B, 0)), "") ) &amp; "]"</f>
        <v>[4]</v>
      </c>
      <c r="R15" s="64" t="str">
        <f aca="false">"[" &amp; _xlfn.TEXTJOIN(",", 1, IF(ISNUMBER(MATCH(M15, 素材!B:B, 0)), N15, "") ) &amp; "]"</f>
        <v>[130]</v>
      </c>
      <c r="S15" s="45" t="n">
        <f aca="false">IFERROR(N15/(F15+H15+J15+L15),"-")</f>
        <v>3.25</v>
      </c>
    </row>
    <row r="16" customFormat="false" ht="13.8" hidden="false" customHeight="false" outlineLevel="0" collapsed="false">
      <c r="A16" s="50" t="n">
        <f aca="false">_xlfn.XLOOKUP(B16, ノード!B:B, ノード!A:A, "")</f>
        <v>3</v>
      </c>
      <c r="B16" s="50" t="s">
        <v>120</v>
      </c>
      <c r="C16" s="50" t="n">
        <v>9</v>
      </c>
      <c r="D16" s="50" t="n">
        <v>9000</v>
      </c>
      <c r="E16" s="50" t="s">
        <v>105</v>
      </c>
      <c r="F16" s="50" t="n">
        <v>18</v>
      </c>
      <c r="G16" s="50" t="s">
        <v>108</v>
      </c>
      <c r="H16" s="50" t="n">
        <v>9</v>
      </c>
      <c r="I16" s="50" t="s">
        <v>109</v>
      </c>
      <c r="J16" s="50" t="n">
        <v>22</v>
      </c>
      <c r="K16" s="50"/>
      <c r="L16" s="50"/>
      <c r="M16" s="50" t="s">
        <v>107</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[18,9,22]</v>
      </c>
      <c r="Q16" s="63" t="str">
        <f aca="false">"[" &amp; _xlfn.TEXTJOIN(",", 1,   IFERROR(INDEX(素材!A:A, MATCH(M16, 素材!B:B, 0)), "") ) &amp; "]"</f>
        <v>[4]</v>
      </c>
      <c r="R16" s="64" t="str">
        <f aca="false">"[" &amp; _xlfn.TEXTJOIN(",", 1, IF(ISNUMBER(MATCH(M16, 素材!B:B, 0)), N16, "") ) &amp; "]"</f>
        <v>[160]</v>
      </c>
      <c r="S16" s="45" t="n">
        <f aca="false">IFERROR(N16/(F16+H16+J16+L16),"-")</f>
        <v>3.26530612244898</v>
      </c>
    </row>
    <row r="17" customFormat="false" ht="13.8" hidden="false" customHeight="false" outlineLevel="0" collapsed="false">
      <c r="A17" s="50" t="n">
        <f aca="false">_xlfn.XLOOKUP(B17, ノード!B:B, ノード!A:A, "")</f>
        <v>3</v>
      </c>
      <c r="B17" s="50" t="s">
        <v>120</v>
      </c>
      <c r="C17" s="50" t="n">
        <v>10</v>
      </c>
      <c r="D17" s="50" t="n">
        <v>10000</v>
      </c>
      <c r="E17" s="50" t="s">
        <v>105</v>
      </c>
      <c r="F17" s="50" t="n">
        <v>20</v>
      </c>
      <c r="G17" s="50" t="s">
        <v>108</v>
      </c>
      <c r="H17" s="50" t="n">
        <v>10</v>
      </c>
      <c r="I17" s="50" t="s">
        <v>109</v>
      </c>
      <c r="J17" s="50" t="n">
        <v>30</v>
      </c>
      <c r="K17" s="50"/>
      <c r="L17" s="50"/>
      <c r="M17" s="50" t="s">
        <v>107</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[20,10,30]</v>
      </c>
      <c r="Q17" s="63" t="str">
        <f aca="false">"[" &amp; _xlfn.TEXTJOIN(",", 1,   IFERROR(INDEX(素材!A:A, MATCH(M17, 素材!B:B, 0)), "") ) &amp; "]"</f>
        <v>[4]</v>
      </c>
      <c r="R17" s="64" t="str">
        <f aca="false">"[" &amp; _xlfn.TEXTJOIN(",", 1, IF(ISNUMBER(MATCH(M17, 素材!B:B, 0)), N17, "") ) &amp; "]"</f>
        <v>[200]</v>
      </c>
      <c r="S17" s="45" t="n">
        <f aca="false">IFERROR(N17/(F17+H17+J17+L17),"-")</f>
        <v>3.33333333333333</v>
      </c>
    </row>
    <row r="18" customFormat="false" ht="13.8" hidden="false" customHeight="false" outlineLevel="0" collapsed="false">
      <c r="A18" s="50" t="n">
        <f aca="false">_xlfn.XLOOKUP(B18, ノード!B:B, ノード!A:A, "")</f>
        <v>4</v>
      </c>
      <c r="B18" s="50" t="s">
        <v>121</v>
      </c>
      <c r="C18" s="50" t="n">
        <v>0</v>
      </c>
      <c r="D18" s="50" t="n">
        <v>0</v>
      </c>
      <c r="E18" s="50" t="s">
        <v>105</v>
      </c>
      <c r="F18" s="50" t="n">
        <v>2</v>
      </c>
      <c r="G18" s="50" t="s">
        <v>106</v>
      </c>
      <c r="H18" s="50" t="n">
        <v>2</v>
      </c>
      <c r="I18" s="50" t="s">
        <v>107</v>
      </c>
      <c r="J18" s="50" t="n">
        <v>1</v>
      </c>
      <c r="K18" s="50"/>
      <c r="L18" s="50"/>
      <c r="M18" s="50" t="s">
        <v>108</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121</v>
      </c>
      <c r="C19" s="50" t="n">
        <v>1</v>
      </c>
      <c r="D19" s="50" t="n">
        <v>1000</v>
      </c>
      <c r="E19" s="50" t="s">
        <v>105</v>
      </c>
      <c r="F19" s="50" t="n">
        <v>2</v>
      </c>
      <c r="G19" s="50" t="s">
        <v>106</v>
      </c>
      <c r="H19" s="50" t="n">
        <v>2</v>
      </c>
      <c r="I19" s="50" t="s">
        <v>107</v>
      </c>
      <c r="J19" s="50" t="n">
        <v>1</v>
      </c>
      <c r="K19" s="50"/>
      <c r="L19" s="50"/>
      <c r="M19" s="50" t="s">
        <v>108</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121</v>
      </c>
      <c r="C20" s="50" t="n">
        <v>2</v>
      </c>
      <c r="D20" s="50" t="n">
        <v>2000</v>
      </c>
      <c r="E20" s="50" t="s">
        <v>105</v>
      </c>
      <c r="F20" s="50" t="n">
        <v>3</v>
      </c>
      <c r="G20" s="50" t="s">
        <v>106</v>
      </c>
      <c r="H20" s="50" t="n">
        <v>3</v>
      </c>
      <c r="I20" s="50" t="s">
        <v>107</v>
      </c>
      <c r="J20" s="50" t="n">
        <v>2</v>
      </c>
      <c r="K20" s="50"/>
      <c r="L20" s="50"/>
      <c r="M20" s="50" t="s">
        <v>108</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121</v>
      </c>
      <c r="C21" s="50" t="n">
        <v>3</v>
      </c>
      <c r="D21" s="50" t="n">
        <v>3000</v>
      </c>
      <c r="E21" s="50" t="s">
        <v>105</v>
      </c>
      <c r="F21" s="50" t="n">
        <v>5</v>
      </c>
      <c r="G21" s="50" t="s">
        <v>106</v>
      </c>
      <c r="H21" s="50" t="n">
        <v>5</v>
      </c>
      <c r="I21" s="50" t="s">
        <v>107</v>
      </c>
      <c r="J21" s="50" t="n">
        <v>4</v>
      </c>
      <c r="K21" s="50"/>
      <c r="L21" s="50"/>
      <c r="M21" s="50" t="s">
        <v>108</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121</v>
      </c>
      <c r="C22" s="50" t="n">
        <v>4</v>
      </c>
      <c r="D22" s="50" t="n">
        <v>4000</v>
      </c>
      <c r="E22" s="50" t="s">
        <v>105</v>
      </c>
      <c r="F22" s="50" t="n">
        <v>8</v>
      </c>
      <c r="G22" s="50" t="s">
        <v>106</v>
      </c>
      <c r="H22" s="50" t="n">
        <v>8</v>
      </c>
      <c r="I22" s="50" t="s">
        <v>107</v>
      </c>
      <c r="J22" s="50" t="n">
        <v>7</v>
      </c>
      <c r="K22" s="50" t="s">
        <v>110</v>
      </c>
      <c r="L22" s="50" t="n">
        <v>4</v>
      </c>
      <c r="M22" s="50" t="s">
        <v>108</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121</v>
      </c>
      <c r="C23" s="50" t="n">
        <v>5</v>
      </c>
      <c r="D23" s="50" t="n">
        <v>5000</v>
      </c>
      <c r="E23" s="50" t="s">
        <v>105</v>
      </c>
      <c r="F23" s="50" t="n">
        <v>13</v>
      </c>
      <c r="G23" s="50" t="s">
        <v>106</v>
      </c>
      <c r="H23" s="50" t="n">
        <v>13</v>
      </c>
      <c r="I23" s="50" t="s">
        <v>107</v>
      </c>
      <c r="J23" s="50" t="n">
        <v>13</v>
      </c>
      <c r="K23" s="50" t="s">
        <v>110</v>
      </c>
      <c r="L23" s="50" t="n">
        <v>8</v>
      </c>
      <c r="M23" s="50" t="s">
        <v>108</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121</v>
      </c>
      <c r="C24" s="50" t="n">
        <v>6</v>
      </c>
      <c r="D24" s="50" t="n">
        <v>6000</v>
      </c>
      <c r="E24" s="50" t="s">
        <v>105</v>
      </c>
      <c r="F24" s="50" t="n">
        <v>20</v>
      </c>
      <c r="G24" s="50" t="s">
        <v>106</v>
      </c>
      <c r="H24" s="50" t="n">
        <v>20</v>
      </c>
      <c r="I24" s="50" t="s">
        <v>107</v>
      </c>
      <c r="J24" s="50" t="n">
        <v>20</v>
      </c>
      <c r="K24" s="50" t="s">
        <v>110</v>
      </c>
      <c r="L24" s="50" t="n">
        <v>12</v>
      </c>
      <c r="M24" s="50" t="s">
        <v>108</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121</v>
      </c>
      <c r="C25" s="50" t="n">
        <v>7</v>
      </c>
      <c r="D25" s="50" t="n">
        <v>7000</v>
      </c>
      <c r="E25" s="50" t="s">
        <v>105</v>
      </c>
      <c r="F25" s="50" t="n">
        <v>29</v>
      </c>
      <c r="G25" s="50" t="s">
        <v>106</v>
      </c>
      <c r="H25" s="50" t="n">
        <v>29</v>
      </c>
      <c r="I25" s="50" t="s">
        <v>107</v>
      </c>
      <c r="J25" s="50" t="n">
        <v>40</v>
      </c>
      <c r="K25" s="50" t="s">
        <v>110</v>
      </c>
      <c r="L25" s="50" t="n">
        <v>17</v>
      </c>
      <c r="M25" s="50" t="s">
        <v>108</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121</v>
      </c>
      <c r="C26" s="50" t="n">
        <v>8</v>
      </c>
      <c r="D26" s="50" t="n">
        <v>8000</v>
      </c>
      <c r="E26" s="50" t="s">
        <v>105</v>
      </c>
      <c r="F26" s="50" t="n">
        <v>40</v>
      </c>
      <c r="G26" s="50" t="s">
        <v>106</v>
      </c>
      <c r="H26" s="50" t="n">
        <v>40</v>
      </c>
      <c r="I26" s="50" t="s">
        <v>107</v>
      </c>
      <c r="J26" s="50" t="n">
        <v>60</v>
      </c>
      <c r="K26" s="50" t="s">
        <v>110</v>
      </c>
      <c r="L26" s="50" t="n">
        <v>23</v>
      </c>
      <c r="M26" s="50" t="s">
        <v>108</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121</v>
      </c>
      <c r="C27" s="50" t="n">
        <v>9</v>
      </c>
      <c r="D27" s="50" t="n">
        <v>9000</v>
      </c>
      <c r="E27" s="50" t="s">
        <v>105</v>
      </c>
      <c r="F27" s="50" t="n">
        <v>53</v>
      </c>
      <c r="G27" s="50" t="s">
        <v>106</v>
      </c>
      <c r="H27" s="50" t="n">
        <v>53</v>
      </c>
      <c r="I27" s="50" t="s">
        <v>107</v>
      </c>
      <c r="J27" s="50" t="n">
        <v>80</v>
      </c>
      <c r="K27" s="50" t="s">
        <v>110</v>
      </c>
      <c r="L27" s="50" t="n">
        <v>30</v>
      </c>
      <c r="M27" s="50" t="s">
        <v>108</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121</v>
      </c>
      <c r="C28" s="50" t="n">
        <v>10</v>
      </c>
      <c r="D28" s="50" t="n">
        <v>10000</v>
      </c>
      <c r="E28" s="50" t="s">
        <v>105</v>
      </c>
      <c r="F28" s="50" t="n">
        <v>70</v>
      </c>
      <c r="G28" s="50" t="s">
        <v>106</v>
      </c>
      <c r="H28" s="50" t="n">
        <v>70</v>
      </c>
      <c r="I28" s="50" t="s">
        <v>107</v>
      </c>
      <c r="J28" s="50" t="n">
        <v>100</v>
      </c>
      <c r="K28" s="50" t="s">
        <v>110</v>
      </c>
      <c r="L28" s="50" t="n">
        <v>40</v>
      </c>
      <c r="M28" s="50" t="s">
        <v>108</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122</v>
      </c>
      <c r="C29" s="50" t="n">
        <v>1</v>
      </c>
      <c r="D29" s="50" t="n">
        <v>0</v>
      </c>
      <c r="E29" s="50" t="s">
        <v>103</v>
      </c>
      <c r="F29" s="50" t="n">
        <v>0</v>
      </c>
      <c r="G29" s="50"/>
      <c r="H29" s="50"/>
      <c r="I29" s="50"/>
      <c r="J29" s="50"/>
      <c r="K29" s="50"/>
      <c r="L29" s="50"/>
      <c r="M29" s="50" t="s">
        <v>103</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123</v>
      </c>
      <c r="C30" s="50" t="n">
        <v>1</v>
      </c>
      <c r="D30" s="50" t="n">
        <v>1000</v>
      </c>
      <c r="E30" s="50" t="s">
        <v>106</v>
      </c>
      <c r="F30" s="50" t="n">
        <v>2</v>
      </c>
      <c r="G30" s="50" t="s">
        <v>108</v>
      </c>
      <c r="H30" s="50" t="n">
        <v>2</v>
      </c>
      <c r="I30" s="50"/>
      <c r="J30" s="50"/>
      <c r="K30" s="50"/>
      <c r="L30" s="50"/>
      <c r="M30" s="50" t="s">
        <v>109</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123</v>
      </c>
      <c r="C31" s="50" t="n">
        <v>2</v>
      </c>
      <c r="D31" s="50" t="n">
        <v>2000</v>
      </c>
      <c r="E31" s="50" t="s">
        <v>106</v>
      </c>
      <c r="F31" s="50" t="n">
        <v>3</v>
      </c>
      <c r="G31" s="50" t="s">
        <v>108</v>
      </c>
      <c r="H31" s="50" t="n">
        <v>3</v>
      </c>
      <c r="I31" s="50"/>
      <c r="J31" s="50"/>
      <c r="K31" s="50"/>
      <c r="L31" s="50"/>
      <c r="M31" s="50" t="s">
        <v>109</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123</v>
      </c>
      <c r="C32" s="50" t="n">
        <v>3</v>
      </c>
      <c r="D32" s="50" t="n">
        <v>3000</v>
      </c>
      <c r="E32" s="50" t="s">
        <v>106</v>
      </c>
      <c r="F32" s="50" t="n">
        <v>4</v>
      </c>
      <c r="G32" s="50" t="s">
        <v>108</v>
      </c>
      <c r="H32" s="50" t="n">
        <v>4</v>
      </c>
      <c r="I32" s="50"/>
      <c r="J32" s="50"/>
      <c r="K32" s="50"/>
      <c r="L32" s="50"/>
      <c r="M32" s="50" t="s">
        <v>109</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123</v>
      </c>
      <c r="C33" s="50" t="n">
        <v>4</v>
      </c>
      <c r="D33" s="50" t="n">
        <v>4000</v>
      </c>
      <c r="E33" s="50" t="s">
        <v>106</v>
      </c>
      <c r="F33" s="50" t="n">
        <v>5</v>
      </c>
      <c r="G33" s="50" t="s">
        <v>108</v>
      </c>
      <c r="H33" s="50" t="n">
        <v>5</v>
      </c>
      <c r="I33" s="50"/>
      <c r="J33" s="50"/>
      <c r="K33" s="50"/>
      <c r="L33" s="50"/>
      <c r="M33" s="50" t="s">
        <v>109</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123</v>
      </c>
      <c r="C34" s="50" t="n">
        <v>5</v>
      </c>
      <c r="D34" s="50" t="n">
        <v>5000</v>
      </c>
      <c r="E34" s="50" t="s">
        <v>106</v>
      </c>
      <c r="F34" s="50" t="n">
        <v>6</v>
      </c>
      <c r="G34" s="50" t="s">
        <v>108</v>
      </c>
      <c r="H34" s="50" t="n">
        <v>6</v>
      </c>
      <c r="I34" s="50" t="s">
        <v>110</v>
      </c>
      <c r="J34" s="50" t="n">
        <v>2</v>
      </c>
      <c r="K34" s="50"/>
      <c r="L34" s="50"/>
      <c r="M34" s="50" t="s">
        <v>109</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123</v>
      </c>
      <c r="C35" s="50" t="n">
        <v>6</v>
      </c>
      <c r="D35" s="50" t="n">
        <v>6000</v>
      </c>
      <c r="E35" s="50" t="s">
        <v>106</v>
      </c>
      <c r="F35" s="50" t="n">
        <v>7</v>
      </c>
      <c r="G35" s="50" t="s">
        <v>108</v>
      </c>
      <c r="H35" s="50" t="n">
        <v>7</v>
      </c>
      <c r="I35" s="50" t="s">
        <v>110</v>
      </c>
      <c r="J35" s="50" t="n">
        <v>4</v>
      </c>
      <c r="K35" s="50"/>
      <c r="L35" s="50"/>
      <c r="M35" s="50" t="s">
        <v>109</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123</v>
      </c>
      <c r="C36" s="50" t="n">
        <v>7</v>
      </c>
      <c r="D36" s="50" t="n">
        <v>7000</v>
      </c>
      <c r="E36" s="50" t="s">
        <v>106</v>
      </c>
      <c r="F36" s="50" t="n">
        <v>8</v>
      </c>
      <c r="G36" s="50" t="s">
        <v>108</v>
      </c>
      <c r="H36" s="50" t="n">
        <v>8</v>
      </c>
      <c r="I36" s="50" t="s">
        <v>110</v>
      </c>
      <c r="J36" s="50" t="n">
        <v>6</v>
      </c>
      <c r="K36" s="50"/>
      <c r="L36" s="50"/>
      <c r="M36" s="50" t="s">
        <v>109</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123</v>
      </c>
      <c r="C37" s="50" t="n">
        <v>8</v>
      </c>
      <c r="D37" s="50" t="n">
        <v>8000</v>
      </c>
      <c r="E37" s="50" t="s">
        <v>106</v>
      </c>
      <c r="F37" s="50" t="n">
        <v>9</v>
      </c>
      <c r="G37" s="50" t="s">
        <v>108</v>
      </c>
      <c r="H37" s="50" t="n">
        <v>9</v>
      </c>
      <c r="I37" s="50" t="s">
        <v>110</v>
      </c>
      <c r="J37" s="50" t="n">
        <v>8</v>
      </c>
      <c r="K37" s="50"/>
      <c r="L37" s="50"/>
      <c r="M37" s="50" t="s">
        <v>109</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123</v>
      </c>
      <c r="C38" s="50" t="n">
        <v>9</v>
      </c>
      <c r="D38" s="50" t="n">
        <v>9000</v>
      </c>
      <c r="E38" s="50" t="s">
        <v>106</v>
      </c>
      <c r="F38" s="50" t="n">
        <v>10</v>
      </c>
      <c r="G38" s="50" t="s">
        <v>108</v>
      </c>
      <c r="H38" s="50" t="n">
        <v>10</v>
      </c>
      <c r="I38" s="50" t="s">
        <v>110</v>
      </c>
      <c r="J38" s="50" t="n">
        <v>10</v>
      </c>
      <c r="K38" s="50"/>
      <c r="L38" s="50"/>
      <c r="M38" s="50" t="s">
        <v>109</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123</v>
      </c>
      <c r="C39" s="50" t="n">
        <v>10</v>
      </c>
      <c r="D39" s="50" t="n">
        <v>10000</v>
      </c>
      <c r="E39" s="50" t="s">
        <v>106</v>
      </c>
      <c r="F39" s="50" t="n">
        <v>11</v>
      </c>
      <c r="G39" s="50" t="s">
        <v>108</v>
      </c>
      <c r="H39" s="50" t="n">
        <v>11</v>
      </c>
      <c r="I39" s="50" t="s">
        <v>110</v>
      </c>
      <c r="J39" s="50" t="n">
        <v>15</v>
      </c>
      <c r="K39" s="50"/>
      <c r="L39" s="50"/>
      <c r="M39" s="50" t="s">
        <v>109</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124</v>
      </c>
      <c r="C40" s="50" t="n">
        <v>1</v>
      </c>
      <c r="D40" s="50" t="n">
        <v>1000</v>
      </c>
      <c r="E40" s="50" t="s">
        <v>106</v>
      </c>
      <c r="F40" s="50" t="n">
        <v>13</v>
      </c>
      <c r="G40" s="50" t="s">
        <v>109</v>
      </c>
      <c r="H40" s="50" t="n">
        <v>13</v>
      </c>
      <c r="I40" s="50" t="s">
        <v>108</v>
      </c>
      <c r="J40" s="50" t="n">
        <v>13</v>
      </c>
      <c r="K40" s="50"/>
      <c r="L40" s="50"/>
      <c r="M40" s="50" t="s">
        <v>104</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124</v>
      </c>
      <c r="C41" s="50" t="n">
        <v>2</v>
      </c>
      <c r="D41" s="50" t="n">
        <v>2000</v>
      </c>
      <c r="E41" s="50" t="s">
        <v>106</v>
      </c>
      <c r="F41" s="50" t="n">
        <v>14</v>
      </c>
      <c r="G41" s="50" t="s">
        <v>109</v>
      </c>
      <c r="H41" s="50" t="n">
        <v>14</v>
      </c>
      <c r="I41" s="50" t="s">
        <v>108</v>
      </c>
      <c r="J41" s="50" t="n">
        <v>14</v>
      </c>
      <c r="K41" s="50" t="s">
        <v>110</v>
      </c>
      <c r="L41" s="50" t="n">
        <v>4</v>
      </c>
      <c r="M41" s="50" t="s">
        <v>104</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124</v>
      </c>
      <c r="C42" s="50" t="n">
        <v>3</v>
      </c>
      <c r="D42" s="50" t="n">
        <v>3000</v>
      </c>
      <c r="E42" s="50" t="s">
        <v>106</v>
      </c>
      <c r="F42" s="50" t="n">
        <v>15</v>
      </c>
      <c r="G42" s="50" t="s">
        <v>109</v>
      </c>
      <c r="H42" s="50" t="n">
        <v>15</v>
      </c>
      <c r="I42" s="50" t="s">
        <v>108</v>
      </c>
      <c r="J42" s="50" t="n">
        <v>15</v>
      </c>
      <c r="K42" s="50" t="s">
        <v>110</v>
      </c>
      <c r="L42" s="50" t="n">
        <v>8</v>
      </c>
      <c r="M42" s="50" t="s">
        <v>104</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124</v>
      </c>
      <c r="C43" s="50" t="n">
        <v>4</v>
      </c>
      <c r="D43" s="50" t="n">
        <v>4000</v>
      </c>
      <c r="E43" s="50" t="s">
        <v>106</v>
      </c>
      <c r="F43" s="50" t="n">
        <v>16</v>
      </c>
      <c r="G43" s="50" t="s">
        <v>109</v>
      </c>
      <c r="H43" s="50" t="n">
        <v>16</v>
      </c>
      <c r="I43" s="50" t="s">
        <v>108</v>
      </c>
      <c r="J43" s="50" t="n">
        <v>16</v>
      </c>
      <c r="K43" s="50" t="s">
        <v>110</v>
      </c>
      <c r="L43" s="50"/>
      <c r="M43" s="50" t="s">
        <v>104</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124</v>
      </c>
      <c r="C44" s="50" t="n">
        <v>5</v>
      </c>
      <c r="D44" s="50" t="n">
        <v>5000</v>
      </c>
      <c r="E44" s="50" t="s">
        <v>106</v>
      </c>
      <c r="F44" s="50" t="n">
        <v>17</v>
      </c>
      <c r="G44" s="50" t="s">
        <v>109</v>
      </c>
      <c r="H44" s="50" t="n">
        <v>17</v>
      </c>
      <c r="I44" s="50" t="s">
        <v>108</v>
      </c>
      <c r="J44" s="50" t="n">
        <v>17</v>
      </c>
      <c r="K44" s="50" t="s">
        <v>110</v>
      </c>
      <c r="L44" s="50"/>
      <c r="M44" s="50" t="s">
        <v>104</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124</v>
      </c>
      <c r="C45" s="50" t="n">
        <v>6</v>
      </c>
      <c r="D45" s="50" t="n">
        <v>6000</v>
      </c>
      <c r="E45" s="50" t="s">
        <v>106</v>
      </c>
      <c r="F45" s="50" t="n">
        <v>18</v>
      </c>
      <c r="G45" s="50" t="s">
        <v>109</v>
      </c>
      <c r="H45" s="50" t="n">
        <v>18</v>
      </c>
      <c r="I45" s="50" t="s">
        <v>108</v>
      </c>
      <c r="J45" s="50" t="n">
        <v>18</v>
      </c>
      <c r="K45" s="50" t="s">
        <v>110</v>
      </c>
      <c r="L45" s="50"/>
      <c r="M45" s="50" t="s">
        <v>104</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124</v>
      </c>
      <c r="C46" s="50" t="n">
        <v>7</v>
      </c>
      <c r="D46" s="50" t="n">
        <v>7000</v>
      </c>
      <c r="E46" s="50" t="s">
        <v>106</v>
      </c>
      <c r="F46" s="50" t="n">
        <v>19</v>
      </c>
      <c r="G46" s="50" t="s">
        <v>109</v>
      </c>
      <c r="H46" s="50" t="n">
        <v>19</v>
      </c>
      <c r="I46" s="50" t="s">
        <v>108</v>
      </c>
      <c r="J46" s="50" t="n">
        <v>19</v>
      </c>
      <c r="K46" s="50" t="s">
        <v>110</v>
      </c>
      <c r="L46" s="50"/>
      <c r="M46" s="50" t="s">
        <v>104</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124</v>
      </c>
      <c r="C47" s="50" t="n">
        <v>8</v>
      </c>
      <c r="D47" s="50" t="n">
        <v>8000</v>
      </c>
      <c r="E47" s="50" t="s">
        <v>106</v>
      </c>
      <c r="F47" s="50" t="n">
        <v>13</v>
      </c>
      <c r="G47" s="50" t="s">
        <v>109</v>
      </c>
      <c r="H47" s="50" t="n">
        <v>13</v>
      </c>
      <c r="I47" s="50" t="s">
        <v>108</v>
      </c>
      <c r="J47" s="50" t="n">
        <v>20</v>
      </c>
      <c r="K47" s="50" t="s">
        <v>110</v>
      </c>
      <c r="L47" s="50"/>
      <c r="M47" s="50" t="s">
        <v>104</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124</v>
      </c>
      <c r="C48" s="50" t="n">
        <v>9</v>
      </c>
      <c r="D48" s="50" t="n">
        <v>9000</v>
      </c>
      <c r="E48" s="50" t="s">
        <v>106</v>
      </c>
      <c r="F48" s="50" t="n">
        <v>14</v>
      </c>
      <c r="G48" s="50" t="s">
        <v>109</v>
      </c>
      <c r="H48" s="50" t="n">
        <v>14</v>
      </c>
      <c r="I48" s="50" t="s">
        <v>108</v>
      </c>
      <c r="J48" s="50" t="n">
        <v>21</v>
      </c>
      <c r="K48" s="50" t="s">
        <v>110</v>
      </c>
      <c r="L48" s="50"/>
      <c r="M48" s="50" t="s">
        <v>104</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124</v>
      </c>
      <c r="C49" s="50" t="n">
        <v>10</v>
      </c>
      <c r="D49" s="50" t="n">
        <v>10000</v>
      </c>
      <c r="E49" s="50" t="s">
        <v>106</v>
      </c>
      <c r="F49" s="50" t="n">
        <v>15</v>
      </c>
      <c r="G49" s="50" t="s">
        <v>109</v>
      </c>
      <c r="H49" s="50" t="n">
        <v>15</v>
      </c>
      <c r="I49" s="50" t="s">
        <v>108</v>
      </c>
      <c r="J49" s="50" t="n">
        <v>22</v>
      </c>
      <c r="K49" s="50" t="s">
        <v>110</v>
      </c>
      <c r="L49" s="50"/>
      <c r="M49" s="50" t="s">
        <v>104</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125</v>
      </c>
      <c r="C50" s="50" t="n">
        <v>0</v>
      </c>
      <c r="D50" s="50" t="n">
        <v>0</v>
      </c>
      <c r="E50" s="50"/>
      <c r="F50" s="50"/>
      <c r="G50" s="50"/>
      <c r="H50" s="50"/>
      <c r="I50" s="50"/>
      <c r="J50" s="50"/>
      <c r="K50" s="50"/>
      <c r="L50" s="50"/>
      <c r="M50" s="50" t="s">
        <v>110</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126</v>
      </c>
      <c r="C51" s="50" t="n">
        <v>1</v>
      </c>
      <c r="D51" s="50" t="n">
        <v>1000</v>
      </c>
      <c r="E51" s="50" t="s">
        <v>108</v>
      </c>
      <c r="F51" s="50" t="n">
        <v>10</v>
      </c>
      <c r="G51" s="50"/>
      <c r="H51" s="50"/>
      <c r="I51" s="50"/>
      <c r="J51" s="50"/>
      <c r="K51" s="50"/>
      <c r="L51" s="50"/>
      <c r="M51" s="50" t="s">
        <v>104</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126</v>
      </c>
      <c r="C52" s="50" t="n">
        <v>2</v>
      </c>
      <c r="D52" s="50" t="n">
        <v>5000</v>
      </c>
      <c r="E52" s="50" t="s">
        <v>108</v>
      </c>
      <c r="F52" s="50" t="n">
        <v>30</v>
      </c>
      <c r="G52" s="50"/>
      <c r="H52" s="50"/>
      <c r="I52" s="50"/>
      <c r="J52" s="50"/>
      <c r="K52" s="50"/>
      <c r="L52" s="50"/>
      <c r="M52" s="50" t="s">
        <v>104</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127</v>
      </c>
      <c r="C53" s="50" t="n">
        <v>1</v>
      </c>
      <c r="D53" s="50" t="n">
        <v>1000</v>
      </c>
      <c r="E53" s="50" t="s">
        <v>106</v>
      </c>
      <c r="F53" s="50" t="n">
        <v>1</v>
      </c>
      <c r="G53" s="50" t="s">
        <v>107</v>
      </c>
      <c r="H53" s="50" t="n">
        <v>1</v>
      </c>
      <c r="I53" s="50" t="s">
        <v>108</v>
      </c>
      <c r="J53" s="50" t="n">
        <v>1</v>
      </c>
      <c r="K53" s="50"/>
      <c r="L53" s="50"/>
      <c r="M53" s="50" t="s">
        <v>104</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127</v>
      </c>
      <c r="C54" s="50" t="n">
        <v>2</v>
      </c>
      <c r="D54" s="50" t="n">
        <v>2000</v>
      </c>
      <c r="E54" s="50" t="s">
        <v>106</v>
      </c>
      <c r="F54" s="50" t="n">
        <v>2</v>
      </c>
      <c r="G54" s="50" t="s">
        <v>107</v>
      </c>
      <c r="H54" s="50" t="n">
        <v>2</v>
      </c>
      <c r="I54" s="50" t="s">
        <v>108</v>
      </c>
      <c r="J54" s="50" t="n">
        <v>2</v>
      </c>
      <c r="K54" s="50"/>
      <c r="L54" s="50"/>
      <c r="M54" s="50" t="s">
        <v>104</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127</v>
      </c>
      <c r="C55" s="50" t="n">
        <v>3</v>
      </c>
      <c r="D55" s="50" t="n">
        <v>3000</v>
      </c>
      <c r="E55" s="50" t="s">
        <v>106</v>
      </c>
      <c r="F55" s="50" t="n">
        <v>3</v>
      </c>
      <c r="G55" s="50" t="s">
        <v>107</v>
      </c>
      <c r="H55" s="50" t="n">
        <v>3</v>
      </c>
      <c r="I55" s="50" t="s">
        <v>108</v>
      </c>
      <c r="J55" s="50" t="n">
        <v>3</v>
      </c>
      <c r="K55" s="50"/>
      <c r="L55" s="50"/>
      <c r="M55" s="50" t="s">
        <v>104</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127</v>
      </c>
      <c r="C56" s="50" t="n">
        <v>4</v>
      </c>
      <c r="D56" s="50" t="n">
        <v>4000</v>
      </c>
      <c r="E56" s="50" t="s">
        <v>106</v>
      </c>
      <c r="F56" s="50" t="n">
        <v>4</v>
      </c>
      <c r="G56" s="50" t="s">
        <v>107</v>
      </c>
      <c r="H56" s="50" t="n">
        <v>4</v>
      </c>
      <c r="I56" s="50" t="s">
        <v>108</v>
      </c>
      <c r="J56" s="50" t="n">
        <v>4</v>
      </c>
      <c r="K56" s="50"/>
      <c r="L56" s="50"/>
      <c r="M56" s="50" t="s">
        <v>104</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127</v>
      </c>
      <c r="C57" s="50" t="n">
        <v>5</v>
      </c>
      <c r="D57" s="50" t="n">
        <v>5000</v>
      </c>
      <c r="E57" s="50" t="s">
        <v>106</v>
      </c>
      <c r="F57" s="50" t="n">
        <v>5</v>
      </c>
      <c r="G57" s="50" t="s">
        <v>107</v>
      </c>
      <c r="H57" s="50" t="n">
        <v>5</v>
      </c>
      <c r="I57" s="50" t="s">
        <v>108</v>
      </c>
      <c r="J57" s="50" t="n">
        <v>5</v>
      </c>
      <c r="K57" s="50"/>
      <c r="L57" s="50"/>
      <c r="M57" s="50" t="s">
        <v>104</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127</v>
      </c>
      <c r="C58" s="50" t="n">
        <v>6</v>
      </c>
      <c r="D58" s="50" t="n">
        <v>6000</v>
      </c>
      <c r="E58" s="50" t="s">
        <v>106</v>
      </c>
      <c r="F58" s="50" t="n">
        <v>6</v>
      </c>
      <c r="G58" s="50" t="s">
        <v>107</v>
      </c>
      <c r="H58" s="50" t="n">
        <v>6</v>
      </c>
      <c r="I58" s="50" t="s">
        <v>108</v>
      </c>
      <c r="J58" s="50" t="n">
        <v>6</v>
      </c>
      <c r="K58" s="50"/>
      <c r="L58" s="50"/>
      <c r="M58" s="50" t="s">
        <v>104</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127</v>
      </c>
      <c r="C59" s="50" t="n">
        <v>7</v>
      </c>
      <c r="D59" s="50" t="n">
        <v>7000</v>
      </c>
      <c r="E59" s="50" t="s">
        <v>106</v>
      </c>
      <c r="F59" s="50" t="n">
        <v>7</v>
      </c>
      <c r="G59" s="50" t="s">
        <v>107</v>
      </c>
      <c r="H59" s="50" t="n">
        <v>7</v>
      </c>
      <c r="I59" s="50" t="s">
        <v>108</v>
      </c>
      <c r="J59" s="50" t="n">
        <v>7</v>
      </c>
      <c r="K59" s="50"/>
      <c r="L59" s="50"/>
      <c r="M59" s="50" t="s">
        <v>104</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127</v>
      </c>
      <c r="C60" s="50" t="n">
        <v>8</v>
      </c>
      <c r="D60" s="50" t="n">
        <v>8000</v>
      </c>
      <c r="E60" s="50" t="s">
        <v>106</v>
      </c>
      <c r="F60" s="50" t="n">
        <v>8</v>
      </c>
      <c r="G60" s="50" t="s">
        <v>107</v>
      </c>
      <c r="H60" s="50" t="n">
        <v>8</v>
      </c>
      <c r="I60" s="50" t="s">
        <v>108</v>
      </c>
      <c r="J60" s="50" t="n">
        <v>8</v>
      </c>
      <c r="K60" s="50"/>
      <c r="L60" s="50"/>
      <c r="M60" s="50" t="s">
        <v>104</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127</v>
      </c>
      <c r="C61" s="50" t="n">
        <v>9</v>
      </c>
      <c r="D61" s="50" t="n">
        <v>9000</v>
      </c>
      <c r="E61" s="50" t="s">
        <v>106</v>
      </c>
      <c r="F61" s="50" t="n">
        <v>9</v>
      </c>
      <c r="G61" s="50" t="s">
        <v>107</v>
      </c>
      <c r="H61" s="50" t="n">
        <v>9</v>
      </c>
      <c r="I61" s="50" t="s">
        <v>108</v>
      </c>
      <c r="J61" s="50" t="n">
        <v>9</v>
      </c>
      <c r="K61" s="50"/>
      <c r="L61" s="50"/>
      <c r="M61" s="50" t="s">
        <v>104</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127</v>
      </c>
      <c r="C62" s="50" t="n">
        <v>10</v>
      </c>
      <c r="D62" s="50" t="n">
        <v>10000</v>
      </c>
      <c r="E62" s="50" t="s">
        <v>106</v>
      </c>
      <c r="F62" s="50" t="n">
        <v>10</v>
      </c>
      <c r="G62" s="50" t="s">
        <v>107</v>
      </c>
      <c r="H62" s="50" t="n">
        <v>10</v>
      </c>
      <c r="I62" s="50" t="s">
        <v>108</v>
      </c>
      <c r="J62" s="50" t="n">
        <v>10</v>
      </c>
      <c r="K62" s="50"/>
      <c r="L62" s="50"/>
      <c r="M62" s="50" t="s">
        <v>104</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126</v>
      </c>
      <c r="C63" s="50" t="n">
        <v>2</v>
      </c>
      <c r="D63" s="50" t="n">
        <v>2</v>
      </c>
      <c r="E63" s="50" t="s">
        <v>108</v>
      </c>
      <c r="F63" s="50" t="n">
        <v>30</v>
      </c>
      <c r="G63" s="50"/>
      <c r="H63" s="50"/>
      <c r="I63" s="50"/>
      <c r="J63" s="50"/>
      <c r="K63" s="50"/>
      <c r="L63" s="50"/>
      <c r="M63" s="50" t="s">
        <v>104</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111</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112</v>
      </c>
    </row>
    <row r="70" customFormat="false" ht="13.8" hidden="false" customHeight="false" outlineLevel="0" collapsed="false">
      <c r="A70" s="44" t="s">
        <v>132</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59" activeCellId="0" sqref="D59"/>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16</v>
      </c>
      <c r="B4" s="47" t="s">
        <v>155</v>
      </c>
      <c r="C4" s="47" t="s">
        <v>156</v>
      </c>
      <c r="D4" s="47" t="s">
        <v>157</v>
      </c>
    </row>
    <row r="5" customFormat="false" ht="12.75" hidden="false" customHeight="false" outlineLevel="0" collapsed="false">
      <c r="A5" s="49" t="s">
        <v>158</v>
      </c>
      <c r="B5" s="49" t="s">
        <v>159</v>
      </c>
      <c r="C5" s="49" t="s">
        <v>160</v>
      </c>
      <c r="D5" s="49" t="s">
        <v>161</v>
      </c>
    </row>
    <row r="6" customFormat="false" ht="12.75" hidden="false" customHeight="false" outlineLevel="0" collapsed="false">
      <c r="A6" s="50" t="n">
        <v>1</v>
      </c>
      <c r="B6" s="50" t="n">
        <v>0</v>
      </c>
      <c r="C6" s="50" t="s">
        <v>162</v>
      </c>
      <c r="D6" s="50" t="n">
        <v>1</v>
      </c>
    </row>
    <row r="7" customFormat="false" ht="12.75" hidden="false" customHeight="false" outlineLevel="0" collapsed="false">
      <c r="A7" s="50" t="n">
        <v>1</v>
      </c>
      <c r="B7" s="50" t="n">
        <v>1</v>
      </c>
      <c r="C7" s="50" t="s">
        <v>163</v>
      </c>
      <c r="D7" s="50" t="n">
        <v>2</v>
      </c>
    </row>
    <row r="8" customFormat="false" ht="12.75" hidden="false" customHeight="false" outlineLevel="0" collapsed="false">
      <c r="A8" s="50" t="n">
        <v>1</v>
      </c>
      <c r="B8" s="50" t="n">
        <v>2</v>
      </c>
      <c r="C8" s="50" t="s">
        <v>164</v>
      </c>
      <c r="D8" s="50" t="n">
        <v>3</v>
      </c>
    </row>
    <row r="9" customFormat="false" ht="21.55" hidden="false" customHeight="false" outlineLevel="0" collapsed="false">
      <c r="A9" s="50" t="n">
        <v>1</v>
      </c>
      <c r="B9" s="50" t="n">
        <v>3</v>
      </c>
      <c r="C9" s="65" t="s">
        <v>165</v>
      </c>
      <c r="D9" s="50" t="n">
        <v>4</v>
      </c>
    </row>
    <row r="10" customFormat="false" ht="12.75" hidden="false" customHeight="false" outlineLevel="0" collapsed="false">
      <c r="A10" s="50" t="n">
        <v>1</v>
      </c>
      <c r="B10" s="50" t="n">
        <v>4</v>
      </c>
      <c r="C10" s="50" t="s">
        <v>166</v>
      </c>
      <c r="D10" s="50" t="s">
        <v>167</v>
      </c>
    </row>
    <row r="11" customFormat="false" ht="12.75" hidden="false" customHeight="false" outlineLevel="0" collapsed="false">
      <c r="A11" s="50" t="n">
        <v>1</v>
      </c>
      <c r="B11" s="50" t="n">
        <v>5</v>
      </c>
      <c r="C11" s="50" t="s">
        <v>168</v>
      </c>
      <c r="D11" s="50" t="s">
        <v>167</v>
      </c>
    </row>
    <row r="12" customFormat="false" ht="12.75" hidden="false" customHeight="false" outlineLevel="0" collapsed="false">
      <c r="A12" s="50" t="n">
        <v>1</v>
      </c>
      <c r="B12" s="50" t="n">
        <v>6</v>
      </c>
      <c r="C12" s="50" t="s">
        <v>169</v>
      </c>
      <c r="D12" s="50" t="n">
        <v>5</v>
      </c>
    </row>
    <row r="13" customFormat="false" ht="12.75" hidden="false" customHeight="false" outlineLevel="0" collapsed="false">
      <c r="A13" s="50" t="n">
        <v>1</v>
      </c>
      <c r="B13" s="50" t="n">
        <v>7</v>
      </c>
      <c r="C13" s="50" t="s">
        <v>170</v>
      </c>
      <c r="D13" s="50" t="s">
        <v>167</v>
      </c>
    </row>
    <row r="14" customFormat="false" ht="12.75" hidden="false" customHeight="false" outlineLevel="0" collapsed="false">
      <c r="A14" s="50" t="n">
        <v>2</v>
      </c>
      <c r="B14" s="50" t="n">
        <v>1</v>
      </c>
      <c r="C14" s="50" t="s">
        <v>171</v>
      </c>
      <c r="D14" s="50" t="n">
        <v>6</v>
      </c>
    </row>
    <row r="15" customFormat="false" ht="12.75" hidden="false" customHeight="false" outlineLevel="0" collapsed="false">
      <c r="A15" s="46" t="s">
        <v>111</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112</v>
      </c>
    </row>
    <row r="22" customFormat="false" ht="13.8" hidden="false" customHeight="false" outlineLevel="0" collapsed="false">
      <c r="A22" s="44" t="s">
        <v>172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S28"/>
  <sheetViews>
    <sheetView showFormulas="false" showGridLines="true" showRowColHeaders="true" showZeros="true" rightToLeft="false" tabSelected="true" showOutlineSymbols="true" defaultGridColor="true" view="normal" topLeftCell="G1" colorId="64" zoomScale="100" zoomScaleNormal="100" zoomScalePageLayoutView="100" workbookViewId="0">
      <selection pane="topLeft" activeCell="U8" activeCellId="0" sqref="U8"/>
    </sheetView>
  </sheetViews>
  <sheetFormatPr defaultColWidth="8.2734375" defaultRowHeight="12.75"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6" min="5" style="44" width="11.18"/>
    <col collapsed="false" customWidth="true" hidden="false" outlineLevel="0" max="7" min="7" style="66" width="10.36"/>
    <col collapsed="false" customWidth="true" hidden="false" outlineLevel="0" max="8" min="8" style="44" width="14.36"/>
    <col collapsed="false" customWidth="true" hidden="false" outlineLevel="0" max="10" min="9" style="44" width="9.45"/>
    <col collapsed="false" customWidth="true" hidden="false" outlineLevel="0" max="11" min="11" style="44" width="24.18"/>
    <col collapsed="false" customWidth="true" hidden="false" outlineLevel="0" max="12" min="12" style="44" width="7.82"/>
    <col collapsed="false" customWidth="true" hidden="false" outlineLevel="0" max="13" min="13" style="44" width="7.27"/>
    <col collapsed="false" customWidth="true" hidden="false" outlineLevel="0" max="14" min="14" style="44" width="18.27"/>
    <col collapsed="false" customWidth="true" hidden="false" outlineLevel="0" max="15" min="15" style="66" width="13"/>
    <col collapsed="false" customWidth="true" hidden="false" outlineLevel="0" max="17" min="16" style="44" width="12.91"/>
    <col collapsed="false" customWidth="true" hidden="false" outlineLevel="0" max="19" min="18" style="66" width="12.91"/>
    <col collapsed="false" customWidth="true" hidden="false" outlineLevel="0" max="20" min="20" style="66" width="16.36"/>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92</v>
      </c>
      <c r="B3" s="46"/>
      <c r="C3" s="46"/>
      <c r="D3" s="46"/>
      <c r="E3" s="46"/>
      <c r="F3" s="46"/>
      <c r="G3" s="46"/>
      <c r="H3" s="46"/>
      <c r="I3" s="46"/>
      <c r="J3" s="46"/>
      <c r="K3" s="46"/>
      <c r="L3" s="46"/>
      <c r="M3" s="46"/>
      <c r="N3" s="46"/>
      <c r="O3" s="46"/>
      <c r="P3" s="46"/>
      <c r="Q3" s="46"/>
      <c r="R3" s="46"/>
      <c r="S3" s="46"/>
    </row>
    <row r="4" customFormat="false" ht="13.8" hidden="false" customHeight="false" outlineLevel="0" collapsed="false">
      <c r="A4" s="47" t="s">
        <v>16</v>
      </c>
      <c r="B4" s="47" t="s">
        <v>155</v>
      </c>
      <c r="C4" s="47" t="s">
        <v>173</v>
      </c>
      <c r="D4" s="47" t="s">
        <v>156</v>
      </c>
      <c r="E4" s="47" t="s">
        <v>174</v>
      </c>
      <c r="F4" s="67" t="s">
        <v>175</v>
      </c>
      <c r="G4" s="68" t="s">
        <v>176</v>
      </c>
      <c r="H4" s="69" t="s">
        <v>177</v>
      </c>
      <c r="I4" s="69" t="s">
        <v>178</v>
      </c>
      <c r="J4" s="69" t="s">
        <v>178</v>
      </c>
      <c r="K4" s="69" t="s">
        <v>21</v>
      </c>
      <c r="L4" s="47" t="s">
        <v>179</v>
      </c>
      <c r="M4" s="47" t="s">
        <v>180</v>
      </c>
      <c r="N4" s="69" t="s">
        <v>181</v>
      </c>
      <c r="O4" s="69" t="s">
        <v>182</v>
      </c>
      <c r="P4" s="61" t="s">
        <v>21</v>
      </c>
      <c r="Q4" s="61" t="s">
        <v>177</v>
      </c>
      <c r="R4" s="61" t="s">
        <v>181</v>
      </c>
      <c r="S4" s="61" t="s">
        <v>182</v>
      </c>
    </row>
    <row r="5" customFormat="false" ht="13.8" hidden="false" customHeight="false" outlineLevel="0" collapsed="false">
      <c r="A5" s="49" t="s">
        <v>158</v>
      </c>
      <c r="B5" s="49" t="s">
        <v>159</v>
      </c>
      <c r="C5" s="49" t="s">
        <v>183</v>
      </c>
      <c r="D5" s="49" t="s">
        <v>160</v>
      </c>
      <c r="E5" s="49" t="s">
        <v>184</v>
      </c>
      <c r="F5" s="49"/>
      <c r="G5" s="49" t="s">
        <v>185</v>
      </c>
      <c r="H5" s="49"/>
      <c r="I5" s="49"/>
      <c r="J5" s="49"/>
      <c r="K5" s="49"/>
      <c r="L5" s="49" t="s">
        <v>186</v>
      </c>
      <c r="M5" s="49" t="s">
        <v>149</v>
      </c>
      <c r="N5" s="49"/>
      <c r="O5" s="49"/>
      <c r="P5" s="49" t="s">
        <v>187</v>
      </c>
      <c r="Q5" s="49" t="s">
        <v>188</v>
      </c>
      <c r="R5" s="49" t="s">
        <v>189</v>
      </c>
      <c r="S5" s="49" t="s">
        <v>190</v>
      </c>
    </row>
    <row r="6" customFormat="false" ht="13.8" hidden="false" customHeight="false" outlineLevel="0" collapsed="false">
      <c r="A6" s="50" t="n">
        <v>1</v>
      </c>
      <c r="B6" s="50" t="n">
        <v>1</v>
      </c>
      <c r="C6" s="50" t="s">
        <v>191</v>
      </c>
      <c r="D6" s="65" t="s">
        <v>192</v>
      </c>
      <c r="E6" s="50" t="s">
        <v>167</v>
      </c>
      <c r="F6" s="50" t="s">
        <v>193</v>
      </c>
      <c r="G6" s="50" t="n">
        <f aca="true">OFFSET(依頼主!$A$1,MATCH(F6,依頼主!B:B,0)-1,0)</f>
        <v>10</v>
      </c>
      <c r="H6" s="50" t="s">
        <v>120</v>
      </c>
      <c r="I6" s="50"/>
      <c r="J6" s="50"/>
      <c r="K6" s="50" t="s">
        <v>194</v>
      </c>
      <c r="L6" s="50" t="n">
        <v>1</v>
      </c>
      <c r="M6" s="50" t="s">
        <v>167</v>
      </c>
      <c r="N6" s="50" t="s">
        <v>195</v>
      </c>
      <c r="O6" s="50" t="s">
        <v>195</v>
      </c>
      <c r="P6" s="50" t="n">
        <f aca="true">OFFSET(依頼種別!$A$1, MATCH(K6,依頼種別!B:B,0)-1,0)</f>
        <v>9</v>
      </c>
      <c r="Q6" s="70" t="str">
        <f aca="false">"[" &amp; _xlfn.TEXTJOIN(",", 1, IFERROR(INDEX(ノード!A:A, MATCH(H6, ノード!B:B, 0)), ""), IFERROR(INDEX(ノード!A:A, MATCH(I6, ノード!B:B, 0)), ""), IFERROR(INDEX(ノード!A:A, MATCH(J6, ノード!B:B, 0)), "") ) &amp; "]"</f>
        <v>[3]</v>
      </c>
      <c r="R6" s="50" t="n">
        <f aca="false">_xlfn.XLOOKUP(N6, 'バフ、デバフ'!B:B, 'バフ、デバフ'!A:A, "")</f>
        <v>1</v>
      </c>
      <c r="S6" s="50" t="n">
        <f aca="false">_xlfn.XLOOKUP(O6, 'バフ、デバフ'!B:B, 'バフ、デバフ'!A:A, "")</f>
        <v>1</v>
      </c>
    </row>
    <row r="7" customFormat="false" ht="13.8" hidden="false" customHeight="false" outlineLevel="0" collapsed="false">
      <c r="A7" s="50" t="n">
        <v>1</v>
      </c>
      <c r="B7" s="50" t="n">
        <v>1</v>
      </c>
      <c r="C7" s="50" t="s">
        <v>196</v>
      </c>
      <c r="D7" s="65" t="s">
        <v>197</v>
      </c>
      <c r="E7" s="50" t="s">
        <v>167</v>
      </c>
      <c r="F7" s="50" t="s">
        <v>198</v>
      </c>
      <c r="G7" s="50" t="n">
        <f aca="true">OFFSET(依頼主!$A$1,MATCH(F7,依頼主!B:B,0)-1,0)</f>
        <v>3</v>
      </c>
      <c r="H7" s="50" t="s">
        <v>121</v>
      </c>
      <c r="I7" s="50"/>
      <c r="J7" s="50"/>
      <c r="K7" s="50" t="s">
        <v>194</v>
      </c>
      <c r="L7" s="50" t="n">
        <v>1</v>
      </c>
      <c r="M7" s="50" t="s">
        <v>167</v>
      </c>
      <c r="N7" s="50" t="s">
        <v>195</v>
      </c>
      <c r="O7" s="50" t="s">
        <v>195</v>
      </c>
      <c r="P7" s="50" t="n">
        <f aca="true">OFFSET(依頼種別!$A$1, MATCH(K7,依頼種別!B:B,0)-1,0)</f>
        <v>9</v>
      </c>
      <c r="Q7" s="70" t="str">
        <f aca="false">"[" &amp; _xlfn.TEXTJOIN(",", 1, IFERROR(INDEX(ノード!A:A, MATCH(H7, ノード!B:B, 0)), ""), IFERROR(INDEX(ノード!A:A, MATCH(I7, ノード!B:B, 0)), ""), IFERROR(INDEX(ノード!A:A, MATCH(J7, ノード!B:B, 0)), "") ) &amp; "]"</f>
        <v>[4]</v>
      </c>
      <c r="R7" s="50" t="n">
        <f aca="false">_xlfn.XLOOKUP(N7, 'バフ、デバフ'!B:B, 'バフ、デバフ'!A:A, "")</f>
        <v>1</v>
      </c>
      <c r="S7" s="50" t="n">
        <f aca="false">_xlfn.XLOOKUP(O7, 'バフ、デバフ'!B:B, 'バフ、デバフ'!A:A, "")</f>
        <v>1</v>
      </c>
    </row>
    <row r="8" customFormat="false" ht="13.8" hidden="false" customHeight="false" outlineLevel="0" collapsed="false">
      <c r="A8" s="50" t="n">
        <v>1</v>
      </c>
      <c r="B8" s="50" t="n">
        <v>2</v>
      </c>
      <c r="C8" s="50" t="s">
        <v>199</v>
      </c>
      <c r="D8" s="65" t="s">
        <v>200</v>
      </c>
      <c r="E8" s="50" t="s">
        <v>167</v>
      </c>
      <c r="F8" s="50" t="s">
        <v>193</v>
      </c>
      <c r="G8" s="50" t="n">
        <f aca="true">OFFSET(依頼主!$A$1,MATCH(F8,依頼主!B:B,0)-1,0)</f>
        <v>10</v>
      </c>
      <c r="H8" s="50" t="s">
        <v>126</v>
      </c>
      <c r="I8" s="50"/>
      <c r="J8" s="50"/>
      <c r="K8" s="50" t="s">
        <v>201</v>
      </c>
      <c r="L8" s="50" t="n">
        <v>0</v>
      </c>
      <c r="M8" s="50" t="s">
        <v>167</v>
      </c>
      <c r="N8" s="50" t="s">
        <v>202</v>
      </c>
      <c r="O8" s="50" t="s">
        <v>195</v>
      </c>
      <c r="P8" s="50" t="n">
        <f aca="true">OFFSET(依頼種別!$A$1, MATCH(K8,依頼種別!B:B,0)-1,0)</f>
        <v>3</v>
      </c>
      <c r="Q8" s="70" t="str">
        <f aca="false">"[" &amp; _xlfn.TEXTJOIN(",", 1, IFERROR(INDEX(ノード!A:A, MATCH(H8, ノード!B:B, 0)), ""), IFERROR(INDEX(ノード!A:A, MATCH(I8, ノード!B:B, 0)), ""), IFERROR(INDEX(ノード!A:A, MATCH(J8, ノード!B:B, 0)), "") ) &amp; "]"</f>
        <v>[9]</v>
      </c>
      <c r="R8" s="50" t="n">
        <f aca="false">_xlfn.XLOOKUP(N8, 'バフ、デバフ'!B:B, 'バフ、デバフ'!A:A, "")</f>
        <v>5</v>
      </c>
      <c r="S8" s="50" t="n">
        <f aca="false">_xlfn.XLOOKUP(O8, 'バフ、デバフ'!B:B, 'バフ、デバフ'!A:A, "")</f>
        <v>1</v>
      </c>
    </row>
    <row r="9" customFormat="false" ht="13.8" hidden="false" customHeight="false" outlineLevel="0" collapsed="false">
      <c r="A9" s="50" t="n">
        <v>1</v>
      </c>
      <c r="B9" s="50" t="n">
        <v>2</v>
      </c>
      <c r="C9" s="50" t="s">
        <v>203</v>
      </c>
      <c r="D9" s="65" t="s">
        <v>204</v>
      </c>
      <c r="E9" s="50" t="s">
        <v>167</v>
      </c>
      <c r="F9" s="50" t="s">
        <v>205</v>
      </c>
      <c r="G9" s="50" t="n">
        <f aca="true">OFFSET(依頼主!$A$1,MATCH(F9,依頼主!B:B,0)-1,0)</f>
        <v>9</v>
      </c>
      <c r="H9" s="50" t="s">
        <v>121</v>
      </c>
      <c r="I9" s="50"/>
      <c r="J9" s="50"/>
      <c r="K9" s="50" t="s">
        <v>206</v>
      </c>
      <c r="L9" s="50" t="n">
        <v>1</v>
      </c>
      <c r="M9" s="50" t="n">
        <v>2</v>
      </c>
      <c r="N9" s="50" t="s">
        <v>195</v>
      </c>
      <c r="O9" s="50" t="s">
        <v>195</v>
      </c>
      <c r="P9" s="50" t="n">
        <f aca="true">OFFSET(依頼種別!$A$1, MATCH(K9,依頼種別!B:B,0)-1,0)</f>
        <v>4</v>
      </c>
      <c r="Q9" s="70" t="str">
        <f aca="false">"[" &amp; _xlfn.TEXTJOIN(",", 1, IFERROR(INDEX(ノード!A:A, MATCH(H9, ノード!B:B, 0)), ""), IFERROR(INDEX(ノード!A:A, MATCH(I9, ノード!B:B, 0)), ""), IFERROR(INDEX(ノード!A:A, MATCH(J9, ノード!B:B, 0)), "") ) &amp; "]"</f>
        <v>[4]</v>
      </c>
      <c r="R9" s="50" t="n">
        <f aca="false">_xlfn.XLOOKUP(N9, 'バフ、デバフ'!B:B, 'バフ、デバフ'!A:A, "")</f>
        <v>1</v>
      </c>
      <c r="S9" s="50" t="n">
        <f aca="false">_xlfn.XLOOKUP(O9, 'バフ、デバフ'!B:B, 'バフ、デバフ'!A:A, "")</f>
        <v>1</v>
      </c>
    </row>
    <row r="10" customFormat="false" ht="13.8" hidden="false" customHeight="false" outlineLevel="0" collapsed="false">
      <c r="A10" s="50" t="n">
        <v>1</v>
      </c>
      <c r="B10" s="50" t="n">
        <v>2</v>
      </c>
      <c r="C10" s="50" t="s">
        <v>207</v>
      </c>
      <c r="D10" s="65" t="s">
        <v>208</v>
      </c>
      <c r="E10" s="50" t="s">
        <v>167</v>
      </c>
      <c r="F10" s="50" t="s">
        <v>209</v>
      </c>
      <c r="G10" s="50" t="n">
        <f aca="true">OFFSET(依頼主!$A$1,MATCH(F10,依頼主!B:B,0)-1,0)</f>
        <v>8</v>
      </c>
      <c r="H10" s="50" t="s">
        <v>121</v>
      </c>
      <c r="I10" s="50"/>
      <c r="J10" s="50"/>
      <c r="K10" s="50" t="s">
        <v>210</v>
      </c>
      <c r="L10" s="50" t="s">
        <v>167</v>
      </c>
      <c r="M10" s="50" t="n">
        <v>3</v>
      </c>
      <c r="N10" s="50" t="s">
        <v>211</v>
      </c>
      <c r="O10" s="50" t="s">
        <v>195</v>
      </c>
      <c r="P10" s="50" t="n">
        <f aca="true">OFFSET(依頼種別!$A$1, MATCH(K10,依頼種別!B:B,0)-1,0)</f>
        <v>5</v>
      </c>
      <c r="Q10" s="70" t="str">
        <f aca="false">"[" &amp; _xlfn.TEXTJOIN(",", 1, IFERROR(INDEX(ノード!A:A, MATCH(H10, ノード!B:B, 0)), ""), IFERROR(INDEX(ノード!A:A, MATCH(I10, ノード!B:B, 0)), ""), IFERROR(INDEX(ノード!A:A, MATCH(J10, ノード!B:B, 0)), "") ) &amp; "]"</f>
        <v>[4]</v>
      </c>
      <c r="R10" s="50" t="n">
        <f aca="false">_xlfn.XLOOKUP(N10, 'バフ、デバフ'!B:B, 'バフ、デバフ'!A:A, "")</f>
        <v>6</v>
      </c>
      <c r="S10" s="50" t="n">
        <f aca="false">_xlfn.XLOOKUP(O10, 'バフ、デバフ'!B:B, 'バフ、デバフ'!A:A, "")</f>
        <v>1</v>
      </c>
    </row>
    <row r="11" customFormat="false" ht="31.4" hidden="false" customHeight="false" outlineLevel="0" collapsed="false">
      <c r="A11" s="50" t="n">
        <v>1</v>
      </c>
      <c r="B11" s="50" t="n">
        <v>3</v>
      </c>
      <c r="C11" s="50" t="s">
        <v>212</v>
      </c>
      <c r="D11" s="65" t="s">
        <v>213</v>
      </c>
      <c r="E11" s="50" t="s">
        <v>167</v>
      </c>
      <c r="F11" s="50" t="s">
        <v>214</v>
      </c>
      <c r="G11" s="50" t="n">
        <f aca="true">OFFSET(依頼主!$A$1,MATCH(F11,依頼主!B:B,0)-1,0)</f>
        <v>12</v>
      </c>
      <c r="H11" s="50" t="s">
        <v>120</v>
      </c>
      <c r="I11" s="50"/>
      <c r="J11" s="50"/>
      <c r="K11" s="50" t="s">
        <v>206</v>
      </c>
      <c r="L11" s="50" t="n">
        <v>2</v>
      </c>
      <c r="M11" s="50" t="n">
        <v>3</v>
      </c>
      <c r="N11" s="50" t="s">
        <v>195</v>
      </c>
      <c r="O11" s="50" t="s">
        <v>195</v>
      </c>
      <c r="P11" s="50" t="n">
        <f aca="true">OFFSET(依頼種別!$A$1, MATCH(K11,依頼種別!B:B,0)-1,0)</f>
        <v>4</v>
      </c>
      <c r="Q11" s="70" t="str">
        <f aca="false">"[" &amp; _xlfn.TEXTJOIN(",", 1, IFERROR(INDEX(ノード!A:A, MATCH(H11, ノード!B:B, 0)), ""), IFERROR(INDEX(ノード!A:A, MATCH(I11, ノード!B:B, 0)), ""), IFERROR(INDEX(ノード!A:A, MATCH(J11, ノード!B:B, 0)), "") ) &amp; "]"</f>
        <v>[3]</v>
      </c>
      <c r="R11" s="50" t="n">
        <f aca="false">_xlfn.XLOOKUP(N11, 'バフ、デバフ'!B:B, 'バフ、デバフ'!A:A, "")</f>
        <v>1</v>
      </c>
      <c r="S11" s="50" t="n">
        <f aca="false">_xlfn.XLOOKUP(O11, 'バフ、デバフ'!B:B, 'バフ、デバフ'!A:A, "")</f>
        <v>1</v>
      </c>
    </row>
    <row r="12" customFormat="false" ht="31.4" hidden="false" customHeight="false" outlineLevel="0" collapsed="false">
      <c r="A12" s="50" t="n">
        <v>1</v>
      </c>
      <c r="B12" s="50" t="n">
        <v>3</v>
      </c>
      <c r="C12" s="50" t="s">
        <v>215</v>
      </c>
      <c r="D12" s="65" t="s">
        <v>216</v>
      </c>
      <c r="E12" s="50" t="s">
        <v>167</v>
      </c>
      <c r="F12" s="50" t="s">
        <v>217</v>
      </c>
      <c r="G12" s="50" t="n">
        <f aca="true">OFFSET(依頼主!$A$1,MATCH(F12,依頼主!B:B,0)-1,0)</f>
        <v>1</v>
      </c>
      <c r="H12" s="50" t="s">
        <v>118</v>
      </c>
      <c r="I12" s="50" t="s">
        <v>119</v>
      </c>
      <c r="J12" s="50"/>
      <c r="K12" s="50" t="s">
        <v>194</v>
      </c>
      <c r="L12" s="50" t="n">
        <v>10</v>
      </c>
      <c r="M12" s="50" t="s">
        <v>167</v>
      </c>
      <c r="N12" s="50" t="s">
        <v>195</v>
      </c>
      <c r="O12" s="50" t="s">
        <v>195</v>
      </c>
      <c r="P12" s="50" t="n">
        <f aca="true">OFFSET(依頼種別!$A$1, MATCH(K12,依頼種別!B:B,0)-1,0)</f>
        <v>9</v>
      </c>
      <c r="Q12" s="70" t="str">
        <f aca="false">"[" &amp; _xlfn.TEXTJOIN(",", 1, IFERROR(INDEX(ノード!A:A, MATCH(H12, ノード!B:B, 0)), ""), IFERROR(INDEX(ノード!A:A, MATCH(I12, ノード!B:B, 0)), ""), IFERROR(INDEX(ノード!A:A, MATCH(J12, ノード!B:B, 0)), "") ) &amp; "]"</f>
        <v>[1,2]</v>
      </c>
      <c r="R12" s="50" t="n">
        <f aca="false">_xlfn.XLOOKUP(N12, 'バフ、デバフ'!B:B, 'バフ、デバフ'!A:A, "")</f>
        <v>1</v>
      </c>
      <c r="S12" s="50" t="n">
        <f aca="false">_xlfn.XLOOKUP(O12, 'バフ、デバフ'!B:B, 'バフ、デバフ'!A:A, "")</f>
        <v>1</v>
      </c>
    </row>
    <row r="13" customFormat="false" ht="41.3" hidden="false" customHeight="false" outlineLevel="0" collapsed="false">
      <c r="A13" s="50" t="n">
        <v>1</v>
      </c>
      <c r="B13" s="50" t="n">
        <v>4</v>
      </c>
      <c r="C13" s="50" t="s">
        <v>218</v>
      </c>
      <c r="D13" s="65" t="s">
        <v>219</v>
      </c>
      <c r="E13" s="50" t="s">
        <v>167</v>
      </c>
      <c r="F13" s="50" t="s">
        <v>220</v>
      </c>
      <c r="G13" s="50" t="n">
        <f aca="true">OFFSET(依頼主!$A$1,MATCH(F13,依頼主!B:B,0)-1,0)</f>
        <v>13</v>
      </c>
      <c r="H13" s="50" t="s">
        <v>123</v>
      </c>
      <c r="I13" s="50"/>
      <c r="J13" s="50"/>
      <c r="K13" s="50" t="s">
        <v>206</v>
      </c>
      <c r="L13" s="50" t="n">
        <v>3</v>
      </c>
      <c r="M13" s="50" t="n">
        <v>3</v>
      </c>
      <c r="N13" s="50" t="s">
        <v>195</v>
      </c>
      <c r="O13" s="50" t="s">
        <v>195</v>
      </c>
      <c r="P13" s="50" t="n">
        <f aca="true">OFFSET(依頼種別!$A$1, MATCH(K13,依頼種別!B:B,0)-1,0)</f>
        <v>4</v>
      </c>
      <c r="Q13" s="70" t="str">
        <f aca="false">"[" &amp; _xlfn.TEXTJOIN(",", 1, IFERROR(INDEX(ノード!A:A, MATCH(H13, ノード!B:B, 0)), ""), IFERROR(INDEX(ノード!A:A, MATCH(I13, ノード!B:B, 0)), ""), IFERROR(INDEX(ノード!A:A, MATCH(J13, ノード!B:B, 0)), "") ) &amp; "]"</f>
        <v>[6]</v>
      </c>
      <c r="R13" s="50" t="n">
        <f aca="false">_xlfn.XLOOKUP(N13, 'バフ、デバフ'!B:B, 'バフ、デバフ'!A:A, "")</f>
        <v>1</v>
      </c>
      <c r="S13" s="50" t="n">
        <f aca="false">_xlfn.XLOOKUP(O13, 'バフ、デバフ'!B:B, 'バフ、デバフ'!A:A, "")</f>
        <v>1</v>
      </c>
    </row>
    <row r="14" customFormat="false" ht="31.4" hidden="false" customHeight="false" outlineLevel="0" collapsed="false">
      <c r="A14" s="50" t="n">
        <v>1</v>
      </c>
      <c r="B14" s="50" t="n">
        <v>4</v>
      </c>
      <c r="C14" s="50" t="s">
        <v>221</v>
      </c>
      <c r="D14" s="65" t="s">
        <v>222</v>
      </c>
      <c r="E14" s="50" t="s">
        <v>167</v>
      </c>
      <c r="F14" s="50" t="s">
        <v>214</v>
      </c>
      <c r="G14" s="50" t="n">
        <f aca="true">OFFSET(依頼主!$A$1,MATCH(F14,依頼主!B:B,0)-1,0)</f>
        <v>12</v>
      </c>
      <c r="H14" s="50" t="s">
        <v>120</v>
      </c>
      <c r="I14" s="50"/>
      <c r="J14" s="50"/>
      <c r="K14" s="50" t="s">
        <v>206</v>
      </c>
      <c r="L14" s="50" t="n">
        <v>1</v>
      </c>
      <c r="M14" s="50" t="n">
        <v>4</v>
      </c>
      <c r="N14" s="50" t="s">
        <v>195</v>
      </c>
      <c r="O14" s="50" t="s">
        <v>195</v>
      </c>
      <c r="P14" s="50" t="n">
        <f aca="true">OFFSET(依頼種別!$A$1, MATCH(K14,依頼種別!B:B,0)-1,0)</f>
        <v>4</v>
      </c>
      <c r="Q14" s="70" t="str">
        <f aca="false">"[" &amp; _xlfn.TEXTJOIN(",", 1, IFERROR(INDEX(ノード!A:A, MATCH(H14, ノード!B:B, 0)), ""), IFERROR(INDEX(ノード!A:A, MATCH(I14, ノード!B:B, 0)), ""), IFERROR(INDEX(ノード!A:A, MATCH(J14, ノード!B:B, 0)), "") ) &amp; "]"</f>
        <v>[3]</v>
      </c>
      <c r="R14" s="50" t="n">
        <f aca="false">_xlfn.XLOOKUP(N14, 'バフ、デバフ'!B:B, 'バフ、デバフ'!A:A, "")</f>
        <v>1</v>
      </c>
      <c r="S14" s="50" t="n">
        <f aca="false">_xlfn.XLOOKUP(O14, 'バフ、デバフ'!B:B, 'バフ、デバフ'!A:A, "")</f>
        <v>1</v>
      </c>
    </row>
    <row r="15" customFormat="false" ht="13.8" hidden="false" customHeight="false" outlineLevel="0" collapsed="false">
      <c r="A15" s="50" t="n">
        <v>1</v>
      </c>
      <c r="B15" s="50" t="n">
        <v>5</v>
      </c>
      <c r="C15" s="50" t="s">
        <v>223</v>
      </c>
      <c r="D15" s="65" t="s">
        <v>224</v>
      </c>
      <c r="E15" s="50" t="s">
        <v>167</v>
      </c>
      <c r="F15" s="50" t="s">
        <v>225</v>
      </c>
      <c r="G15" s="50" t="n">
        <f aca="true">OFFSET(依頼主!$A$1,MATCH(F15,依頼主!B:B,0)-1,0)</f>
        <v>7</v>
      </c>
      <c r="H15" s="50" t="s">
        <v>124</v>
      </c>
      <c r="I15" s="50"/>
      <c r="J15" s="50"/>
      <c r="K15" s="50" t="s">
        <v>206</v>
      </c>
      <c r="L15" s="50" t="n">
        <v>2</v>
      </c>
      <c r="M15" s="50" t="n">
        <v>2</v>
      </c>
      <c r="N15" s="50" t="s">
        <v>195</v>
      </c>
      <c r="O15" s="50" t="s">
        <v>195</v>
      </c>
      <c r="P15" s="50" t="n">
        <f aca="true">OFFSET(依頼種別!$A$1, MATCH(K15,依頼種別!B:B,0)-1,0)</f>
        <v>4</v>
      </c>
      <c r="Q15" s="70" t="str">
        <f aca="false">"[" &amp; _xlfn.TEXTJOIN(",", 1, IFERROR(INDEX(ノード!A:A, MATCH(H15, ノード!B:B, 0)), ""), IFERROR(INDEX(ノード!A:A, MATCH(I15, ノード!B:B, 0)), ""), IFERROR(INDEX(ノード!A:A, MATCH(J15, ノード!B:B, 0)), "") ) &amp; "]"</f>
        <v>[7]</v>
      </c>
      <c r="R15" s="50" t="n">
        <f aca="false">_xlfn.XLOOKUP(N15, 'バフ、デバフ'!B:B, 'バフ、デバフ'!A:A, "")</f>
        <v>1</v>
      </c>
      <c r="S15" s="50" t="n">
        <f aca="false">_xlfn.XLOOKUP(O15, 'バフ、デバフ'!B:B, 'バフ、デバフ'!A:A, "")</f>
        <v>1</v>
      </c>
    </row>
    <row r="16" customFormat="false" ht="21.55" hidden="false" customHeight="false" outlineLevel="0" collapsed="false">
      <c r="A16" s="50" t="n">
        <v>1</v>
      </c>
      <c r="B16" s="50" t="n">
        <v>5</v>
      </c>
      <c r="C16" s="50" t="s">
        <v>226</v>
      </c>
      <c r="D16" s="65" t="s">
        <v>227</v>
      </c>
      <c r="E16" s="50" t="s">
        <v>167</v>
      </c>
      <c r="F16" s="50" t="s">
        <v>228</v>
      </c>
      <c r="G16" s="50" t="n">
        <f aca="true">OFFSET(依頼主!$A$1,MATCH(F16,依頼主!B:B,0)-1,0)</f>
        <v>11</v>
      </c>
      <c r="H16" s="50" t="s">
        <v>121</v>
      </c>
      <c r="I16" s="50"/>
      <c r="J16" s="50"/>
      <c r="K16" s="50" t="s">
        <v>210</v>
      </c>
      <c r="L16" s="50" t="s">
        <v>167</v>
      </c>
      <c r="M16" s="50" t="n">
        <v>5</v>
      </c>
      <c r="N16" s="50" t="s">
        <v>195</v>
      </c>
      <c r="O16" s="50" t="s">
        <v>195</v>
      </c>
      <c r="P16" s="50" t="n">
        <f aca="true">OFFSET(依頼種別!$A$1, MATCH(K16,依頼種別!B:B,0)-1,0)</f>
        <v>5</v>
      </c>
      <c r="Q16" s="70" t="str">
        <f aca="false">"[" &amp; _xlfn.TEXTJOIN(",", 1, IFERROR(INDEX(ノード!A:A, MATCH(H16, ノード!B:B, 0)), ""), IFERROR(INDEX(ノード!A:A, MATCH(I16, ノード!B:B, 0)), ""), IFERROR(INDEX(ノード!A:A, MATCH(J16, ノード!B:B, 0)), "") ) &amp; "]"</f>
        <v>[4]</v>
      </c>
      <c r="R16" s="50" t="n">
        <f aca="false">_xlfn.XLOOKUP(N16, 'バフ、デバフ'!B:B, 'バフ、デバフ'!A:A, "")</f>
        <v>1</v>
      </c>
      <c r="S16" s="50" t="n">
        <f aca="false">_xlfn.XLOOKUP(O16, 'バフ、デバフ'!B:B, 'バフ、デバフ'!A:A, "")</f>
        <v>1</v>
      </c>
    </row>
    <row r="17" customFormat="false" ht="13.8" hidden="false" customHeight="false" outlineLevel="0" collapsed="false">
      <c r="A17" s="50" t="n">
        <v>1</v>
      </c>
      <c r="B17" s="50" t="n">
        <v>6</v>
      </c>
      <c r="C17" s="50" t="s">
        <v>229</v>
      </c>
      <c r="D17" s="65" t="s">
        <v>230</v>
      </c>
      <c r="E17" s="50" t="n">
        <v>1</v>
      </c>
      <c r="F17" s="50" t="s">
        <v>214</v>
      </c>
      <c r="G17" s="50" t="n">
        <f aca="true">OFFSET(依頼主!$A$1,MATCH(F17,依頼主!B:B,0)-1,0)</f>
        <v>12</v>
      </c>
      <c r="H17" s="50" t="s">
        <v>120</v>
      </c>
      <c r="I17" s="50"/>
      <c r="J17" s="50"/>
      <c r="K17" s="50" t="s">
        <v>231</v>
      </c>
      <c r="L17" s="50" t="s">
        <v>167</v>
      </c>
      <c r="M17" s="50" t="s">
        <v>167</v>
      </c>
      <c r="N17" s="50" t="s">
        <v>195</v>
      </c>
      <c r="O17" s="50" t="s">
        <v>195</v>
      </c>
      <c r="P17" s="50" t="n">
        <f aca="true">OFFSET(依頼種別!$A$1, MATCH(K17,依頼種別!B:B,0)-1,0)</f>
        <v>1</v>
      </c>
      <c r="Q17" s="70" t="str">
        <f aca="false">"[" &amp; _xlfn.TEXTJOIN(",", 1, IFERROR(INDEX(ノード!A:A, MATCH(H17, ノード!B:B, 0)), ""), IFERROR(INDEX(ノード!A:A, MATCH(I17, ノード!B:B, 0)), ""), IFERROR(INDEX(ノード!A:A, MATCH(J17, ノード!B:B, 0)), "") ) &amp; "]"</f>
        <v>[3]</v>
      </c>
      <c r="R17" s="50" t="n">
        <f aca="false">_xlfn.XLOOKUP(N17, 'バフ、デバフ'!B:B, 'バフ、デバフ'!A:A, "")</f>
        <v>1</v>
      </c>
      <c r="S17" s="50" t="n">
        <f aca="false">_xlfn.XLOOKUP(O17, 'バフ、デバフ'!B:B, 'バフ、デバフ'!A:A, "")</f>
        <v>1</v>
      </c>
    </row>
    <row r="18" customFormat="false" ht="13.8" hidden="false" customHeight="false" outlineLevel="0" collapsed="false">
      <c r="A18" s="50" t="n">
        <v>1</v>
      </c>
      <c r="B18" s="50" t="n">
        <v>6</v>
      </c>
      <c r="C18" s="50" t="s">
        <v>232</v>
      </c>
      <c r="D18" s="65" t="s">
        <v>233</v>
      </c>
      <c r="E18" s="50" t="n">
        <v>1</v>
      </c>
      <c r="F18" s="50" t="s">
        <v>220</v>
      </c>
      <c r="G18" s="50" t="n">
        <f aca="true">OFFSET(依頼主!$A$1,MATCH(F18,依頼主!B:B,0)-1,0)</f>
        <v>13</v>
      </c>
      <c r="H18" s="50" t="s">
        <v>123</v>
      </c>
      <c r="I18" s="50"/>
      <c r="J18" s="50"/>
      <c r="K18" s="50" t="s">
        <v>231</v>
      </c>
      <c r="L18" s="50" t="s">
        <v>167</v>
      </c>
      <c r="M18" s="50" t="s">
        <v>167</v>
      </c>
      <c r="N18" s="50" t="s">
        <v>195</v>
      </c>
      <c r="O18" s="50" t="s">
        <v>195</v>
      </c>
      <c r="P18" s="50" t="n">
        <f aca="true">OFFSET(依頼種別!$A$1, MATCH(K18,依頼種別!B:B,0)-1,0)</f>
        <v>1</v>
      </c>
      <c r="Q18" s="70" t="str">
        <f aca="false">"[" &amp; _xlfn.TEXTJOIN(",", 1, IFERROR(INDEX(ノード!A:A, MATCH(H18, ノード!B:B, 0)), ""), IFERROR(INDEX(ノード!A:A, MATCH(I18, ノード!B:B, 0)), ""), IFERROR(INDEX(ノード!A:A, MATCH(J18, ノード!B:B, 0)), "") ) &amp; "]"</f>
        <v>[6]</v>
      </c>
      <c r="R18" s="50" t="n">
        <f aca="false">_xlfn.XLOOKUP(N18, 'バフ、デバフ'!B:B, 'バフ、デバフ'!A:A, "")</f>
        <v>1</v>
      </c>
      <c r="S18" s="50" t="n">
        <f aca="false">_xlfn.XLOOKUP(O18, 'バフ、デバフ'!B:B, 'バフ、デバフ'!A:A, "")</f>
        <v>1</v>
      </c>
    </row>
    <row r="19" customFormat="false" ht="13.8" hidden="false" customHeight="false" outlineLevel="0" collapsed="false">
      <c r="A19" s="50" t="n">
        <v>1</v>
      </c>
      <c r="B19" s="50" t="n">
        <v>6</v>
      </c>
      <c r="C19" s="50" t="s">
        <v>234</v>
      </c>
      <c r="D19" s="65" t="s">
        <v>235</v>
      </c>
      <c r="E19" s="50" t="n">
        <v>1</v>
      </c>
      <c r="F19" s="50" t="s">
        <v>236</v>
      </c>
      <c r="G19" s="50" t="n">
        <f aca="true">OFFSET(依頼主!$A$1,MATCH(F19,依頼主!B:B,0)-1,0)</f>
        <v>14</v>
      </c>
      <c r="H19" s="50" t="s">
        <v>124</v>
      </c>
      <c r="I19" s="50"/>
      <c r="J19" s="50"/>
      <c r="K19" s="50" t="s">
        <v>231</v>
      </c>
      <c r="L19" s="50" t="s">
        <v>167</v>
      </c>
      <c r="M19" s="50" t="s">
        <v>167</v>
      </c>
      <c r="N19" s="50" t="s">
        <v>195</v>
      </c>
      <c r="O19" s="50" t="s">
        <v>195</v>
      </c>
      <c r="P19" s="50" t="n">
        <f aca="true">OFFSET(依頼種別!$A$1, MATCH(K19,依頼種別!B:B,0)-1,0)</f>
        <v>1</v>
      </c>
      <c r="Q19" s="70" t="str">
        <f aca="false">"[" &amp; _xlfn.TEXTJOIN(",", 1, IFERROR(INDEX(ノード!A:A, MATCH(H19, ノード!B:B, 0)), ""), IFERROR(INDEX(ノード!A:A, MATCH(I19, ノード!B:B, 0)), ""), IFERROR(INDEX(ノード!A:A, MATCH(J19, ノード!B:B, 0)), "") ) &amp; "]"</f>
        <v>[7]</v>
      </c>
      <c r="R19" s="50" t="n">
        <f aca="false">_xlfn.XLOOKUP(N19, 'バフ、デバフ'!B:B, 'バフ、デバフ'!A:A, "")</f>
        <v>1</v>
      </c>
      <c r="S19" s="50" t="n">
        <f aca="false">_xlfn.XLOOKUP(O19, 'バフ、デバフ'!B:B, 'バフ、デバフ'!A:A, "")</f>
        <v>1</v>
      </c>
    </row>
    <row r="20" customFormat="false" ht="13.8" hidden="false" customHeight="false" outlineLevel="0" collapsed="false">
      <c r="A20" s="50" t="n">
        <v>1</v>
      </c>
      <c r="B20" s="50" t="n">
        <v>7</v>
      </c>
      <c r="C20" s="50" t="s">
        <v>237</v>
      </c>
      <c r="D20" s="65" t="s">
        <v>238</v>
      </c>
      <c r="E20" s="50" t="s">
        <v>167</v>
      </c>
      <c r="F20" s="50" t="s">
        <v>217</v>
      </c>
      <c r="G20" s="50" t="n">
        <f aca="true">OFFSET(依頼主!$A$1,MATCH(F20,依頼主!B:B,0)-1,0)</f>
        <v>1</v>
      </c>
      <c r="H20" s="50"/>
      <c r="I20" s="50"/>
      <c r="J20" s="50"/>
      <c r="K20" s="50" t="s">
        <v>239</v>
      </c>
      <c r="L20" s="50" t="n">
        <v>1000</v>
      </c>
      <c r="M20" s="50" t="s">
        <v>167</v>
      </c>
      <c r="N20" s="50" t="s">
        <v>195</v>
      </c>
      <c r="O20" s="50" t="s">
        <v>195</v>
      </c>
      <c r="P20" s="50" t="n">
        <f aca="true">OFFSET(依頼種別!$A$1, MATCH(K20,依頼種別!B:B,0)-1,0)</f>
        <v>10</v>
      </c>
      <c r="Q20" s="70" t="str">
        <f aca="false">"[" &amp; _xlfn.TEXTJOIN(",", 1, IFERROR(INDEX(ノード!A:A, MATCH(H20, ノード!B:B, 0)), ""), IFERROR(INDEX(ノード!A:A, MATCH(I20, ノード!B:B, 0)), ""), IFERROR(INDEX(ノード!A:A, MATCH(J20, ノード!B:B, 0)), "") ) &amp; "]"</f>
        <v>[]</v>
      </c>
      <c r="R20" s="50" t="n">
        <f aca="false">_xlfn.XLOOKUP(N20, 'バフ、デバフ'!B:B, 'バフ、デバフ'!A:A, "")</f>
        <v>1</v>
      </c>
      <c r="S20" s="50" t="n">
        <f aca="false">_xlfn.XLOOKUP(O20, 'バフ、デバフ'!B:B, 'バフ、デバフ'!A:A, "")</f>
        <v>1</v>
      </c>
    </row>
    <row r="21" customFormat="false" ht="13.8" hidden="false" customHeight="false" outlineLevel="0" collapsed="false">
      <c r="A21" s="46" t="s">
        <v>111</v>
      </c>
      <c r="B21" s="46"/>
      <c r="C21" s="46"/>
      <c r="D21" s="46"/>
      <c r="E21" s="46"/>
      <c r="F21" s="46"/>
      <c r="G21" s="46"/>
      <c r="H21" s="46"/>
      <c r="I21" s="46"/>
      <c r="J21" s="46"/>
      <c r="K21" s="46"/>
      <c r="L21" s="46"/>
      <c r="M21" s="46"/>
      <c r="N21" s="46"/>
      <c r="O21" s="46"/>
      <c r="P21" s="46"/>
      <c r="Q21" s="46"/>
      <c r="R21" s="46"/>
      <c r="S21" s="46"/>
    </row>
    <row r="22" customFormat="false" ht="13.8" hidden="false" customHeight="false" outlineLevel="0" collapsed="false"/>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112</v>
      </c>
    </row>
    <row r="28" customFormat="false" ht="13.8" hidden="false" customHeight="false" outlineLevel="0" collapsed="false">
      <c r="A28" s="44" t="s">
        <v>240</v>
      </c>
    </row>
  </sheetData>
  <dataValidations count="4">
    <dataValidation allowBlank="true" errorStyle="stop" operator="between" showDropDown="false" showErrorMessage="true" showInputMessage="true" sqref="N6:P20" type="list">
      <formula1>'バフ、デバフ'!$B$6:$B$14</formula1>
      <formula2>0</formula2>
    </dataValidation>
    <dataValidation allowBlank="true" errorStyle="stop" operator="between" showDropDown="false" showErrorMessage="true" showInputMessage="true" sqref="H6:J20" type="list">
      <formula1>依頼種別!$B$6:$B$108</formula1>
      <formula2>0</formula2>
    </dataValidation>
    <dataValidation allowBlank="true" errorStyle="stop" operator="between" showDropDown="false" showErrorMessage="true" showInputMessage="true" sqref="K6:K20" type="list">
      <formula1>依頼種別!$B$6:$B$102</formula1>
      <formula2>0</formula2>
    </dataValidation>
    <dataValidation allowBlank="true" errorStyle="stop" operator="between" showDropDown="false" showErrorMessage="true" showInputMessage="true" sqref="F6:F20" type="list">
      <formula1>依頼主!$B$6:$B$106</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66" width="24.18"/>
    <col collapsed="false" customWidth="true" hidden="false" outlineLevel="0" max="3" min="3" style="66"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92</v>
      </c>
      <c r="B3" s="46"/>
      <c r="C3" s="46"/>
    </row>
    <row r="4" customFormat="false" ht="12.75" hidden="false" customHeight="false" outlineLevel="0" collapsed="false">
      <c r="A4" s="47" t="s">
        <v>93</v>
      </c>
      <c r="B4" s="60" t="s">
        <v>94</v>
      </c>
      <c r="C4" s="47" t="s">
        <v>20</v>
      </c>
    </row>
    <row r="5" customFormat="false" ht="12.75" hidden="false" customHeight="false" outlineLevel="0" collapsed="false">
      <c r="A5" s="49" t="s">
        <v>99</v>
      </c>
      <c r="B5" s="49"/>
      <c r="C5" s="49" t="s">
        <v>160</v>
      </c>
    </row>
    <row r="6" customFormat="false" ht="12.75" hidden="false" customHeight="false" outlineLevel="0" collapsed="false">
      <c r="A6" s="50" t="n">
        <v>1</v>
      </c>
      <c r="B6" s="50" t="s">
        <v>231</v>
      </c>
      <c r="C6" s="50" t="s">
        <v>241</v>
      </c>
    </row>
    <row r="7" customFormat="false" ht="12.75" hidden="false" customHeight="false" outlineLevel="0" collapsed="false">
      <c r="A7" s="50" t="n">
        <v>2</v>
      </c>
      <c r="B7" s="50" t="s">
        <v>242</v>
      </c>
      <c r="C7" s="50" t="s">
        <v>243</v>
      </c>
    </row>
    <row r="8" customFormat="false" ht="12.75" hidden="false" customHeight="false" outlineLevel="0" collapsed="false">
      <c r="A8" s="50" t="n">
        <v>3</v>
      </c>
      <c r="B8" s="50" t="s">
        <v>201</v>
      </c>
      <c r="C8" s="50" t="s">
        <v>244</v>
      </c>
    </row>
    <row r="9" customFormat="false" ht="12.75" hidden="false" customHeight="false" outlineLevel="0" collapsed="false">
      <c r="A9" s="50" t="n">
        <v>4</v>
      </c>
      <c r="B9" s="50" t="s">
        <v>206</v>
      </c>
      <c r="C9" s="50" t="s">
        <v>245</v>
      </c>
    </row>
    <row r="10" customFormat="false" ht="12.75" hidden="false" customHeight="false" outlineLevel="0" collapsed="false">
      <c r="A10" s="50" t="n">
        <v>5</v>
      </c>
      <c r="B10" s="50" t="s">
        <v>210</v>
      </c>
      <c r="C10" s="50" t="s">
        <v>246</v>
      </c>
    </row>
    <row r="11" customFormat="false" ht="12.75" hidden="false" customHeight="false" outlineLevel="0" collapsed="false">
      <c r="A11" s="50" t="n">
        <v>6</v>
      </c>
      <c r="B11" s="50" t="s">
        <v>247</v>
      </c>
      <c r="C11" s="50" t="s">
        <v>246</v>
      </c>
    </row>
    <row r="12" customFormat="false" ht="12.75" hidden="false" customHeight="false" outlineLevel="0" collapsed="false">
      <c r="A12" s="50" t="n">
        <v>7</v>
      </c>
      <c r="B12" s="50" t="s">
        <v>248</v>
      </c>
      <c r="C12" s="50" t="s">
        <v>249</v>
      </c>
    </row>
    <row r="13" customFormat="false" ht="12.75" hidden="false" customHeight="false" outlineLevel="0" collapsed="false">
      <c r="A13" s="50" t="n">
        <v>8</v>
      </c>
      <c r="B13" s="50" t="s">
        <v>250</v>
      </c>
      <c r="C13" s="50" t="s">
        <v>251</v>
      </c>
    </row>
    <row r="14" customFormat="false" ht="12.75" hidden="false" customHeight="false" outlineLevel="0" collapsed="false">
      <c r="A14" s="50" t="n">
        <v>9</v>
      </c>
      <c r="B14" s="50" t="s">
        <v>194</v>
      </c>
      <c r="C14" s="50" t="s">
        <v>252</v>
      </c>
    </row>
    <row r="15" customFormat="false" ht="12.75" hidden="false" customHeight="false" outlineLevel="0" collapsed="false">
      <c r="A15" s="50" t="n">
        <v>10</v>
      </c>
      <c r="B15" s="50" t="s">
        <v>239</v>
      </c>
      <c r="C15" s="50" t="s">
        <v>253</v>
      </c>
    </row>
    <row r="16" customFormat="false" ht="12.75" hidden="false" customHeight="false" outlineLevel="0" collapsed="false">
      <c r="A16" s="46" t="s">
        <v>111</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112</v>
      </c>
      <c r="B20" s="44"/>
      <c r="C20" s="44"/>
    </row>
    <row r="21" customFormat="false" ht="13.8" hidden="false" customHeight="false" outlineLevel="0" collapsed="false">
      <c r="A21" s="44" t="s">
        <v>113</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row>
    <row r="4" customFormat="false" ht="12.75" hidden="false" customHeight="false" outlineLevel="0" collapsed="false">
      <c r="A4" s="47" t="s">
        <v>93</v>
      </c>
      <c r="B4" s="47" t="s">
        <v>94</v>
      </c>
    </row>
    <row r="5" customFormat="false" ht="12.75" hidden="false" customHeight="false" outlineLevel="0" collapsed="false">
      <c r="A5" s="49" t="s">
        <v>99</v>
      </c>
      <c r="B5" s="49" t="s">
        <v>100</v>
      </c>
    </row>
    <row r="6" customFormat="false" ht="12.75" hidden="false" customHeight="false" outlineLevel="0" collapsed="false">
      <c r="A6" s="50" t="n">
        <v>1</v>
      </c>
      <c r="B6" s="50" t="s">
        <v>217</v>
      </c>
    </row>
    <row r="7" customFormat="false" ht="12.75" hidden="false" customHeight="false" outlineLevel="0" collapsed="false">
      <c r="A7" s="50" t="n">
        <v>2</v>
      </c>
      <c r="B7" s="50" t="s">
        <v>254</v>
      </c>
    </row>
    <row r="8" customFormat="false" ht="12.75" hidden="false" customHeight="false" outlineLevel="0" collapsed="false">
      <c r="A8" s="50" t="n">
        <v>3</v>
      </c>
      <c r="B8" s="50" t="s">
        <v>198</v>
      </c>
    </row>
    <row r="9" customFormat="false" ht="12.75" hidden="false" customHeight="false" outlineLevel="0" collapsed="false">
      <c r="A9" s="50" t="n">
        <v>4</v>
      </c>
      <c r="B9" s="50" t="s">
        <v>255</v>
      </c>
    </row>
    <row r="10" customFormat="false" ht="12.75" hidden="false" customHeight="false" outlineLevel="0" collapsed="false">
      <c r="A10" s="50" t="n">
        <v>5</v>
      </c>
      <c r="B10" s="50" t="s">
        <v>256</v>
      </c>
    </row>
    <row r="11" customFormat="false" ht="12.75" hidden="false" customHeight="false" outlineLevel="0" collapsed="false">
      <c r="A11" s="50" t="n">
        <v>6</v>
      </c>
      <c r="B11" s="50" t="s">
        <v>257</v>
      </c>
    </row>
    <row r="12" customFormat="false" ht="12.75" hidden="false" customHeight="false" outlineLevel="0" collapsed="false">
      <c r="A12" s="50" t="n">
        <v>7</v>
      </c>
      <c r="B12" s="50" t="s">
        <v>225</v>
      </c>
    </row>
    <row r="13" customFormat="false" ht="12.75" hidden="false" customHeight="false" outlineLevel="0" collapsed="false">
      <c r="A13" s="50" t="n">
        <v>8</v>
      </c>
      <c r="B13" s="50" t="s">
        <v>209</v>
      </c>
    </row>
    <row r="14" customFormat="false" ht="12.75" hidden="false" customHeight="false" outlineLevel="0" collapsed="false">
      <c r="A14" s="50" t="n">
        <v>9</v>
      </c>
      <c r="B14" s="50" t="s">
        <v>205</v>
      </c>
    </row>
    <row r="15" customFormat="false" ht="12.75" hidden="false" customHeight="false" outlineLevel="0" collapsed="false">
      <c r="A15" s="50" t="n">
        <v>10</v>
      </c>
      <c r="B15" s="50" t="s">
        <v>193</v>
      </c>
    </row>
    <row r="16" customFormat="false" ht="12.75" hidden="false" customHeight="false" outlineLevel="0" collapsed="false">
      <c r="A16" s="50" t="n">
        <v>11</v>
      </c>
      <c r="B16" s="50" t="s">
        <v>228</v>
      </c>
    </row>
    <row r="17" customFormat="false" ht="12.75" hidden="false" customHeight="false" outlineLevel="0" collapsed="false">
      <c r="A17" s="50" t="n">
        <v>12</v>
      </c>
      <c r="B17" s="50" t="s">
        <v>214</v>
      </c>
    </row>
    <row r="18" customFormat="false" ht="12.75" hidden="false" customHeight="false" outlineLevel="0" collapsed="false">
      <c r="A18" s="50" t="n">
        <v>13</v>
      </c>
      <c r="B18" s="50" t="s">
        <v>220</v>
      </c>
    </row>
    <row r="19" customFormat="false" ht="12.75" hidden="false" customHeight="false" outlineLevel="0" collapsed="false">
      <c r="A19" s="50" t="n">
        <v>14</v>
      </c>
      <c r="B19" s="50" t="s">
        <v>236</v>
      </c>
    </row>
    <row r="20" customFormat="false" ht="12.75" hidden="false" customHeight="false" outlineLevel="0" collapsed="false">
      <c r="A20" s="50" t="n">
        <v>15</v>
      </c>
      <c r="B20" s="50" t="s">
        <v>258</v>
      </c>
    </row>
    <row r="21" customFormat="false" ht="12.75" hidden="false" customHeight="false" outlineLevel="0" collapsed="false">
      <c r="A21" s="50" t="n">
        <v>16</v>
      </c>
      <c r="B21" s="50"/>
    </row>
    <row r="22" customFormat="false" ht="12.75" hidden="false" customHeight="false" outlineLevel="0" collapsed="false">
      <c r="A22" s="46" t="s">
        <v>111</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112</v>
      </c>
    </row>
    <row r="28" customFormat="false" ht="13.8" hidden="false" customHeight="false" outlineLevel="0" collapsed="false">
      <c r="A28" s="44" t="s">
        <v>113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K21" activeCellId="0" sqref="K21"/>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c r="E3" s="46"/>
      <c r="F3" s="46"/>
      <c r="G3" s="46"/>
      <c r="H3" s="46"/>
      <c r="I3" s="46"/>
      <c r="J3" s="46"/>
      <c r="K3" s="46"/>
      <c r="L3" s="46"/>
      <c r="M3" s="46"/>
    </row>
    <row r="4" customFormat="false" ht="12.75" hidden="false" customHeight="false" outlineLevel="0" collapsed="false">
      <c r="A4" s="47" t="s">
        <v>93</v>
      </c>
      <c r="B4" s="47" t="s">
        <v>94</v>
      </c>
      <c r="C4" s="69" t="s">
        <v>259</v>
      </c>
      <c r="D4" s="68" t="s">
        <v>259</v>
      </c>
      <c r="E4" s="47" t="s">
        <v>260</v>
      </c>
      <c r="F4" s="47" t="s">
        <v>261</v>
      </c>
      <c r="G4" s="69" t="s">
        <v>177</v>
      </c>
      <c r="H4" s="69" t="s">
        <v>178</v>
      </c>
      <c r="I4" s="69" t="s">
        <v>178</v>
      </c>
      <c r="J4" s="69" t="s">
        <v>262</v>
      </c>
      <c r="K4" s="68" t="s">
        <v>178</v>
      </c>
      <c r="L4" s="68" t="s">
        <v>263</v>
      </c>
      <c r="M4" s="71" t="s">
        <v>20</v>
      </c>
    </row>
    <row r="5" customFormat="false" ht="12.75" hidden="false" customHeight="false" outlineLevel="0" collapsed="false">
      <c r="A5" s="49" t="s">
        <v>99</v>
      </c>
      <c r="B5" s="49" t="s">
        <v>100</v>
      </c>
      <c r="C5" s="49"/>
      <c r="D5" s="49" t="s">
        <v>187</v>
      </c>
      <c r="E5" s="49" t="s">
        <v>264</v>
      </c>
      <c r="F5" s="49" t="s">
        <v>265</v>
      </c>
      <c r="G5" s="49"/>
      <c r="H5" s="49"/>
      <c r="I5" s="49"/>
      <c r="J5" s="49"/>
      <c r="K5" s="49" t="s">
        <v>188</v>
      </c>
      <c r="L5" s="49" t="s">
        <v>266</v>
      </c>
      <c r="M5" s="49"/>
    </row>
    <row r="6" customFormat="false" ht="12.75" hidden="false" customHeight="false" outlineLevel="0" collapsed="false">
      <c r="A6" s="50" t="n">
        <v>1</v>
      </c>
      <c r="B6" s="50" t="s">
        <v>195</v>
      </c>
      <c r="C6" s="50" t="s">
        <v>167</v>
      </c>
      <c r="D6" s="50" t="n">
        <f aca="true">OFFSET('バフ、デバフ種別'!$A$1,MATCH($C6,'バフ、デバフ種別'!B:B,0)-1,0)</f>
        <v>1</v>
      </c>
      <c r="E6" s="50" t="s">
        <v>167</v>
      </c>
      <c r="F6" s="50" t="s">
        <v>167</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267</v>
      </c>
      <c r="C7" s="50" t="s">
        <v>268</v>
      </c>
      <c r="D7" s="50" t="n">
        <f aca="true">OFFSET('バフ、デバフ種別'!$A$1,MATCH($C7,'バフ、デバフ種別'!B:B,0)-1,0)</f>
        <v>8</v>
      </c>
      <c r="E7" s="50" t="n">
        <v>5</v>
      </c>
      <c r="F7" s="50" t="s">
        <v>167</v>
      </c>
      <c r="G7" s="50" t="s">
        <v>126</v>
      </c>
      <c r="H7" s="50"/>
      <c r="I7" s="50"/>
      <c r="J7" s="50" t="s">
        <v>103</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269</v>
      </c>
      <c r="C8" s="50" t="s">
        <v>270</v>
      </c>
      <c r="D8" s="50" t="n">
        <f aca="true">OFFSET('バフ、デバフ種別'!$A$1,MATCH($C8,'バフ、デバフ種別'!B:B,0)-1,0)</f>
        <v>9</v>
      </c>
      <c r="E8" s="50" t="s">
        <v>167</v>
      </c>
      <c r="F8" s="50" t="s">
        <v>167</v>
      </c>
      <c r="G8" s="50" t="s">
        <v>121</v>
      </c>
      <c r="H8" s="50"/>
      <c r="I8" s="50"/>
      <c r="J8" s="50" t="s">
        <v>103</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271</v>
      </c>
      <c r="C9" s="50" t="s">
        <v>270</v>
      </c>
      <c r="D9" s="50" t="n">
        <f aca="true">OFFSET('バフ、デバフ種別'!$A$1,MATCH($C9,'バフ、デバフ種別'!B:B,0)-1,0)</f>
        <v>9</v>
      </c>
      <c r="E9" s="50" t="s">
        <v>167</v>
      </c>
      <c r="F9" s="50" t="s">
        <v>167</v>
      </c>
      <c r="G9" s="50" t="s">
        <v>123</v>
      </c>
      <c r="H9" s="50"/>
      <c r="I9" s="50"/>
      <c r="J9" s="50" t="s">
        <v>103</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202</v>
      </c>
      <c r="C10" s="50" t="s">
        <v>270</v>
      </c>
      <c r="D10" s="50" t="n">
        <f aca="true">OFFSET('バフ、デバフ種別'!$A$1,MATCH($C10,'バフ、デバフ種別'!B:B,0)-1,0)</f>
        <v>9</v>
      </c>
      <c r="E10" s="50" t="s">
        <v>167</v>
      </c>
      <c r="F10" s="50" t="s">
        <v>167</v>
      </c>
      <c r="G10" s="50" t="s">
        <v>124</v>
      </c>
      <c r="H10" s="50"/>
      <c r="I10" s="50"/>
      <c r="J10" s="50" t="s">
        <v>103</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211</v>
      </c>
      <c r="C11" s="50" t="s">
        <v>270</v>
      </c>
      <c r="D11" s="50" t="n">
        <f aca="true">OFFSET('バフ、デバフ種別'!$A$1,MATCH($C11,'バフ、デバフ種別'!B:B,0)-1,0)</f>
        <v>9</v>
      </c>
      <c r="E11" s="50" t="s">
        <v>167</v>
      </c>
      <c r="F11" s="50" t="s">
        <v>167</v>
      </c>
      <c r="G11" s="50" t="s">
        <v>127</v>
      </c>
      <c r="H11" s="50"/>
      <c r="I11" s="50"/>
      <c r="J11" s="50" t="s">
        <v>103</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272</v>
      </c>
      <c r="C12" s="50" t="s">
        <v>270</v>
      </c>
      <c r="D12" s="50" t="n">
        <f aca="true">OFFSET('バフ、デバフ種別'!$A$1,MATCH($C12,'バフ、デバフ種別'!B:B,0)-1,0)</f>
        <v>9</v>
      </c>
      <c r="E12" s="50" t="s">
        <v>167</v>
      </c>
      <c r="F12" s="50" t="s">
        <v>167</v>
      </c>
      <c r="G12" s="50" t="s">
        <v>120</v>
      </c>
      <c r="H12" s="50"/>
      <c r="I12" s="50"/>
      <c r="J12" s="50" t="s">
        <v>103</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273</v>
      </c>
      <c r="C13" s="50" t="s">
        <v>274</v>
      </c>
      <c r="D13" s="50" t="n">
        <f aca="true">OFFSET('バフ、デバフ種別'!$A$1,MATCH($C13,'バフ、デバフ種別'!B:B,0)-1,0)</f>
        <v>5</v>
      </c>
      <c r="E13" s="50" t="n">
        <v>100</v>
      </c>
      <c r="F13" s="50" t="n">
        <v>10</v>
      </c>
      <c r="G13" s="50" t="s">
        <v>121</v>
      </c>
      <c r="H13" s="50" t="s">
        <v>118</v>
      </c>
      <c r="I13" s="50" t="s">
        <v>119</v>
      </c>
      <c r="J13" s="50" t="s">
        <v>103</v>
      </c>
      <c r="K13" s="50" t="str">
        <f aca="false">"[" &amp; _xlfn.TEXTJOIN(",", 1,   IFERROR(INDEX(ノード!A:A, MATCH($G13, ノード!B:B, 0)), ""),   IFERROR(INDEX(ノード!A:A, MATCH($H13, ノード!B:B, 0)), ""),   IFERROR(INDEX(ノード!A:A, MATCH($I13, ノード!B:B, 0)), "") ) &amp; "]"</f>
        <v>[4,1,2]</v>
      </c>
      <c r="L13" s="50" t="str">
        <f aca="false">"[" &amp; _xlfn.TEXTJOIN(",", 1,   IFERROR(INDEX(素材!A:A, MATCH($J13, 素材!B:B, 0)), "") ) &amp; "]"</f>
        <v>[0]</v>
      </c>
      <c r="M13" s="50" t="str">
        <f aca="false">SUBSTITUTE(SUBSTITUTE(SUBSTITUTE(C13,"{0}",G13),"{1}",E13),"{2}",J13)</f>
        <v>居住モジュールの出力が永久に+100％</v>
      </c>
    </row>
    <row r="14" customFormat="false" ht="12.75" hidden="false" customHeight="false" outlineLevel="0" collapsed="false">
      <c r="A14" s="50" t="n">
        <v>9</v>
      </c>
      <c r="B14" s="50" t="s">
        <v>275</v>
      </c>
      <c r="C14" s="50" t="s">
        <v>276</v>
      </c>
      <c r="D14" s="50" t="n">
        <f aca="true">OFFSET('バフ、デバフ種別'!$A$1,MATCH($C14,'バフ、デバフ種別'!B:B,0)-1,0)</f>
        <v>6</v>
      </c>
      <c r="E14" s="50" t="n">
        <v>4</v>
      </c>
      <c r="F14" s="50" t="n">
        <v>10</v>
      </c>
      <c r="G14" s="50" t="s">
        <v>119</v>
      </c>
      <c r="H14" s="50"/>
      <c r="I14" s="50"/>
      <c r="J14" s="50" t="s">
        <v>108</v>
      </c>
      <c r="K14" s="50" t="str">
        <f aca="false">"[" &amp; _xlfn.TEXTJOIN(",", 1,   IFERROR(INDEX(ノード!A:A, MATCH($G14, ノード!B:B, 0)), ""),   IFERROR(INDEX(ノード!A:A, MATCH($H14, ノード!B:B, 0)), ""),   IFERROR(INDEX(ノード!A:A, MATCH($I14, ノード!B:B, 0)), "") ) &amp; "]"</f>
        <v>[2]</v>
      </c>
      <c r="L14" s="50" t="str">
        <f aca="false">"[" &amp; _xlfn.TEXTJOIN(",", 1,   IFERROR(INDEX(素材!A:A, MATCH($J14, 素材!B:B, 0)), "") ) &amp; "]"</f>
        <v>[5]</v>
      </c>
      <c r="M14" s="50" t="str">
        <f aca="false">SUBSTITUTE(SUBSTITUTE(SUBSTITUTE(C14,"{0}",G14),"{1}",E14),"{2}",J14)</f>
        <v>発電ユニットが追加で労働力を4つ出力するようになる。</v>
      </c>
    </row>
    <row r="15" customFormat="false" ht="12.75" hidden="false" customHeight="false" outlineLevel="0" collapsed="false">
      <c r="A15" s="46" t="s">
        <v>111</v>
      </c>
      <c r="B15" s="46"/>
      <c r="C15" s="46"/>
      <c r="D15" s="46"/>
      <c r="E15" s="46"/>
      <c r="F15" s="46"/>
      <c r="G15" s="46"/>
      <c r="H15" s="46"/>
      <c r="I15" s="46"/>
      <c r="J15" s="46"/>
      <c r="K15" s="46"/>
      <c r="L15" s="46"/>
      <c r="M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c r="A20" s="59" t="s">
        <v>112</v>
      </c>
    </row>
    <row r="21" customFormat="false" ht="13.8" hidden="false" customHeight="false" outlineLevel="0" collapsed="false">
      <c r="A21" s="44" t="s">
        <v>113</v>
      </c>
    </row>
  </sheetData>
  <dataValidations count="3">
    <dataValidation allowBlank="true" errorStyle="stop" operator="between" showDropDown="false" showErrorMessage="true" showInputMessage="true" sqref="G6:I14" type="list">
      <formula1>ノード!$B$6:$B$210</formula1>
      <formula2>0</formula2>
    </dataValidation>
    <dataValidation allowBlank="true" errorStyle="stop" operator="between" showDropDown="false" showErrorMessage="true" showInputMessage="true" sqref="J6:J14" type="list">
      <formula1>素材!$B$6:$B$108</formula1>
      <formula2>0</formula2>
    </dataValidation>
    <dataValidation allowBlank="true" errorStyle="stop" operator="between" showDropDown="false" showErrorMessage="true" showInputMessage="true" sqref="C6:C14"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92</v>
      </c>
      <c r="B3" s="46"/>
      <c r="C3" s="46"/>
      <c r="D3" s="46"/>
    </row>
    <row r="4" customFormat="false" ht="12.75" hidden="false" customHeight="false" outlineLevel="0" collapsed="false">
      <c r="A4" s="47" t="s">
        <v>259</v>
      </c>
      <c r="B4" s="47" t="s">
        <v>277</v>
      </c>
      <c r="C4" s="47" t="s">
        <v>278</v>
      </c>
      <c r="D4" s="47" t="s">
        <v>279</v>
      </c>
    </row>
    <row r="5" customFormat="false" ht="12.75" hidden="false" customHeight="false" outlineLevel="0" collapsed="false">
      <c r="A5" s="49" t="s">
        <v>280</v>
      </c>
      <c r="B5" s="49" t="s">
        <v>160</v>
      </c>
      <c r="C5" s="49" t="s">
        <v>281</v>
      </c>
      <c r="D5" s="49" t="s">
        <v>282</v>
      </c>
    </row>
    <row r="6" customFormat="false" ht="12.75" hidden="false" customHeight="false" outlineLevel="0" collapsed="false">
      <c r="A6" s="50" t="n">
        <v>1</v>
      </c>
      <c r="B6" s="50" t="s">
        <v>167</v>
      </c>
      <c r="C6" s="50" t="s">
        <v>167</v>
      </c>
      <c r="D6" s="50" t="s">
        <v>167</v>
      </c>
    </row>
    <row r="7" customFormat="false" ht="12.75" hidden="false" customHeight="false" outlineLevel="0" collapsed="false">
      <c r="A7" s="50" t="n">
        <v>2</v>
      </c>
      <c r="B7" s="50" t="s">
        <v>283</v>
      </c>
      <c r="C7" s="50" t="n">
        <v>1</v>
      </c>
      <c r="D7" s="50" t="n">
        <v>100</v>
      </c>
    </row>
    <row r="8" customFormat="false" ht="12.75" hidden="false" customHeight="false" outlineLevel="0" collapsed="false">
      <c r="A8" s="50" t="n">
        <v>3</v>
      </c>
      <c r="B8" s="50" t="s">
        <v>284</v>
      </c>
      <c r="C8" s="50" t="n">
        <v>1</v>
      </c>
      <c r="D8" s="50" t="n">
        <v>100</v>
      </c>
    </row>
    <row r="9" customFormat="false" ht="12.75" hidden="false" customHeight="false" outlineLevel="0" collapsed="false">
      <c r="A9" s="50" t="n">
        <v>4</v>
      </c>
      <c r="B9" s="50" t="s">
        <v>285</v>
      </c>
      <c r="C9" s="50" t="n">
        <v>-1</v>
      </c>
      <c r="D9" s="50" t="n">
        <v>3</v>
      </c>
    </row>
    <row r="10" customFormat="false" ht="12.75" hidden="false" customHeight="false" outlineLevel="0" collapsed="false">
      <c r="A10" s="50" t="n">
        <v>5</v>
      </c>
      <c r="B10" s="50" t="s">
        <v>274</v>
      </c>
      <c r="C10" s="50" t="n">
        <v>1</v>
      </c>
      <c r="D10" s="50" t="n">
        <v>3</v>
      </c>
    </row>
    <row r="11" customFormat="false" ht="12.75" hidden="false" customHeight="false" outlineLevel="0" collapsed="false">
      <c r="A11" s="50" t="n">
        <v>6</v>
      </c>
      <c r="B11" s="50" t="s">
        <v>276</v>
      </c>
      <c r="C11" s="50" t="n">
        <v>1</v>
      </c>
      <c r="D11" s="50" t="n">
        <v>2</v>
      </c>
    </row>
    <row r="12" customFormat="false" ht="12.75" hidden="false" customHeight="false" outlineLevel="0" collapsed="false">
      <c r="A12" s="50" t="n">
        <v>7</v>
      </c>
      <c r="B12" s="50" t="s">
        <v>286</v>
      </c>
      <c r="C12" s="50" t="n">
        <v>-1</v>
      </c>
      <c r="D12" s="50" t="n">
        <v>1</v>
      </c>
    </row>
    <row r="13" customFormat="false" ht="12.75" hidden="false" customHeight="false" outlineLevel="0" collapsed="false">
      <c r="A13" s="50" t="n">
        <v>8</v>
      </c>
      <c r="B13" s="50" t="s">
        <v>268</v>
      </c>
      <c r="C13" s="50" t="n">
        <v>0</v>
      </c>
      <c r="D13" s="50" t="n">
        <v>3</v>
      </c>
    </row>
    <row r="14" customFormat="false" ht="12.75" hidden="false" customHeight="false" outlineLevel="0" collapsed="false">
      <c r="A14" s="50" t="n">
        <v>9</v>
      </c>
      <c r="B14" s="50" t="s">
        <v>270</v>
      </c>
      <c r="C14" s="50" t="n">
        <v>0</v>
      </c>
      <c r="D14" s="50" t="n">
        <v>100</v>
      </c>
    </row>
    <row r="15" customFormat="false" ht="12.75" hidden="false" customHeight="false" outlineLevel="0" collapsed="false">
      <c r="A15" s="46" t="s">
        <v>111</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s="44" customFormat="true" ht="13.8" hidden="false" customHeight="false" outlineLevel="0" collapsed="false">
      <c r="A20" s="59" t="s">
        <v>112</v>
      </c>
    </row>
    <row r="21" s="44" customFormat="true" ht="13.8" hidden="false" customHeight="false" outlineLevel="0" collapsed="false">
      <c r="A21" s="44" t="s">
        <v>287</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6340AE88-5FA8-4467-B251-43357D672E2C}">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10</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2026-02-15T10:08:44Z</dcterms:modified>
  <cp:revision>4</cp:revision>
  <dc:subject/>
  <dc:title/>
</cp:coreProperties>
</file>

<file path=docProps/custom.xml><?xml version="1.0" encoding="utf-8"?>
<Properties xmlns="http://schemas.openxmlformats.org/officeDocument/2006/custom-properties" xmlns:vt="http://schemas.openxmlformats.org/officeDocument/2006/docPropsVTypes"/>
</file>