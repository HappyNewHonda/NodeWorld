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7"/>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デモ" sheetId="8" state="visible" r:id="rId11"/>
    <sheet name="依頼" sheetId="9" state="visible" r:id="rId12"/>
    <sheet name="依頼種別" sheetId="10" state="visible" r:id="rId13"/>
    <sheet name="依頼主" sheetId="11" state="visible" r:id="rId14"/>
    <sheet name="バフ、デバフ" sheetId="12" state="visible" r:id="rId15"/>
    <sheet name="バフ、デバフ種別" sheetId="13" state="visible" r:id="rId16"/>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<sst xmlns="http://schemas.openxmlformats.org/spreadsheetml/2006/main" count="1059" uniqueCount="395">
  <si>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</si>
  <si>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</si>
  <si>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</si>
  <si>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</si>
  <si>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</si>
  <si>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</si>
  <si>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</si>
  <si>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</si>
  <si>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</si>
  <si>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</si>
  <si>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</si>
  <si>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</si>
  <si>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</si>
  <si>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</si>
  <si>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</si>
  <si>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</si>
  <si>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</si>
  <si>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</si>
  <si>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デモ</t>
  </si>
  <si>
    <t xml:space="preserve">demo_data</t>
  </si>
  <si>
    <t xml:space="preserve">説明</t>
  </si>
  <si>
    <t xml:space="preserve">依頼</t>
  </si>
  <si>
    <t xml:space="preserve">request_data</t>
  </si>
  <si>
    <t xml:space="preserve">JSON出力ツールはエクセルデータから一部を切り出して</t>
  </si>
  <si>
    <t xml:space="preserve">依頼種別</t>
  </si>
  <si>
    <t xml:space="preserve">request_type_data</t>
  </si>
  <si>
    <t xml:space="preserve">JSONファイルとC#のクラスファイルを出力するためのツールです。</t>
  </si>
  <si>
    <t xml:space="preserve">依頼主</t>
  </si>
  <si>
    <t xml:space="preserve">request_client_data</t>
  </si>
  <si>
    <t xml:space="preserve">まとめられたデータは、エクセルと同じ階層に「json」のフォルダを作成し、</t>
  </si>
  <si>
    <t xml:space="preserve">バフ、デバフ</t>
  </si>
  <si>
    <t xml:space="preserve">effect_data</t>
  </si>
  <si>
    <t xml:space="preserve">その中に、UTF-8、BOMなしのcsファイルを出力していきます。</t>
  </si>
  <si>
    <t xml:space="preserve">バフ、デバフ種別</t>
  </si>
  <si>
    <t xml:space="preserve">effect_type_data</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</si>
  <si>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</si>
  <si>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</si>
  <si>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</si>
  <si>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</si>
  <si>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</si>
  <si>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</si>
  <si>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</si>
  <si>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</si>
  <si>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</si>
  <si>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</si>
  <si>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</si>
  <si>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</si>
  <si>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</si>
  <si>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</si>
  <si>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</si>
  <si>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</si>
  <si>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</si>
  <si>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</si>
  <si>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</si>
  <si>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</si>
  <si>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</si>
  <si>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</si>
  <si>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</si>
  <si>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</si>
  <si>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</si>
  <si>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</si>
  <si>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</si>
  <si>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</si>
  <si>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</si>
  <si>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</si>
  <si>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</si>
  <si>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</si>
  <si>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</si>
  <si>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</si>
  <si>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</si>
  <si>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</si>
  <si>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</si>
  <si>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</si>
  <si>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</si>
  <si>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</si>
  <si>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</si>
  <si>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</si>
  <si>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</si>
  <si>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</si>
  <si>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</si>
  <si>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</si>
  <si>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</si>
  <si>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</si>
  <si>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</si>
  <si>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</si>
  <si>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</si>
  <si>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</si>
  <si>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</si>
  <si>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</si>
  <si>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</si>
  <si>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</si>
  <si>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</si>
  <si>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</si>
  <si>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</si>
  <si>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</si>
  <si>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</si>
  <si>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</si>
  <si>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</si>
  <si>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</si>
  <si>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</si>
  <si>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</si>
  <si>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</si>
  <si>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</si>
  <si>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</si>
  <si>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</si>
  <si>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</si>
  <si>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</si>
  <si>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</si>
  <si>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</si>
  <si>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</si>
  <si>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</si>
  <si>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</si>
  <si>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</si>
  <si>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</si>
  <si>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</si>
  <si>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</si>
  <si>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</si>
  <si>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</si>
  <si>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モジュールか</t>
  </si>
  <si>
    <t xml:space="preserve">UnlockChapter:int</t>
  </si>
  <si>
    <t xml:space="preserve">UnlockSection:int</t>
  </si>
  <si>
    <t xml:space="preserve">IsModule:bool</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</si>
  <si>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</si>
  <si>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</si>
  <si>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</si>
  <si>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</si>
  <si>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</si>
  <si>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</si>
  <si>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</si>
  <si>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</si>
  <si>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</si>
  <si>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</si>
  <si>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</si>
  <si>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</si>
  <si>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Level:int</t>
  </si>
  <si>
    <t xml:space="preserve">Cost:int</t>
  </si>
  <si>
    <t xml:space="preserve">-</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</si>
  <si>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</si>
  <si>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</si>
  <si>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</si>
  <si>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</si>
  <si>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</si>
  <si>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</si>
  <si>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</si>
  <si>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</si>
  <si>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</si>
  <si>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</si>
  <si>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</si>
  <si>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</si>
  <si>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</si>
  <si>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</si>
  <si>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</si>
  <si>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</si>
  <si>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</si>
  <si>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</si>
  <si>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</si>
  <si>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</si>
  <si>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</si>
  <si>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</si>
  <si>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</si>
  <si>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</si>
  <si>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</si>
  <si>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</si>
  <si>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</si>
  <si>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</si>
  <si>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</si>
  <si>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</si>
  <si>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</si>
  <si>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</si>
  <si>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</si>
  <si>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</si>
  <si>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</si>
  <si>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</si>
  <si>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</si>
  <si>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</si>
  <si>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</si>
  <si>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「──本日をもって、暫定統治期間は終了となります。</t>
  </si>
  <si>
    <t xml:space="preserve">管理ID</t>
  </si>
  <si>
    <t xml:space="preserve">位置</t>
  </si>
  <si>
    <t xml:space="preserve">位置（x,y:座標、z:管理ID）</t>
  </si>
  <si>
    <t xml:space="preserve">長い混乱の時代でした。多くのものが失われました。</t>
  </si>
  <si>
    <t xml:space="preserve">Type:string</t>
  </si>
  <si>
    <t xml:space="preserve">Parameter:string</t>
  </si>
  <si>
    <t xml:space="preserve">Postion:Vector3</t>
  </si>
  <si>
    <t xml:space="preserve">しかし、私たちはまだここにいます。」</t>
  </si>
  <si>
    <t xml:space="preserve">PrefabLoad</t>
  </si>
  <si>
    <t xml:space="preserve">0,0</t>
  </si>
  <si>
    <t xml:space="preserve">OpeningPrefab</t>
  </si>
  <si>
    <t xml:space="preserve">「国は本日付で、各区画への"調律者"派遣を正式に開始します。</t>
  </si>
  <si>
    <t xml:space="preserve">PrefabDelete</t>
  </si>
  <si>
    <t xml:space="preserve">調律者は、皆さんの暮らしを立て直す技術支援者です。</t>
  </si>
  <si>
    <t xml:space="preserve">ShowMessage</t>
  </si>
  <si>
    <t xml:space="preserve">メッセージテキスト</t>
  </si>
  <si>
    <t xml:space="preserve">配属先の区画では、住民の声を聞き、インフラを再構築する権限が与えられます。」</t>
  </si>
  <si>
    <t xml:space="preserve">DeleteMessage</t>
  </si>
  <si>
    <t xml:space="preserve">「私たちに残された資源は、決して豊かではありません。</t>
  </si>
  <si>
    <t xml:space="preserve">ShowAI</t>
  </si>
  <si>
    <t xml:space="preserve">LUMI</t>
  </si>
  <si>
    <t xml:space="preserve">ですが、正しく配り、正しくつなげば、人は再び立ち上がれます。</t>
  </si>
  <si>
    <t xml:space="preserve">DeleteAI</t>
  </si>
  <si>
    <t xml:space="preserve">どうか調律者を信じ、共に歩んでください。」</t>
  </si>
  <si>
    <t xml:space="preserve">ChangeAIImage</t>
  </si>
  <si>
    <t xml:space="preserve">笑顔</t>
  </si>
  <si>
    <t xml:space="preserve">「……なお、調律者への要望・相談は各区の掲示板へ。</t>
  </si>
  <si>
    <t xml:space="preserve">ShowAIText</t>
  </si>
  <si>
    <t xml:space="preserve">おはようございます。私はリュミです。</t>
  </si>
  <si>
    <t xml:space="preserve">あなたの声が、明日のこの街をつくります。」</t>
  </si>
  <si>
    <t xml:space="preserve">DeleteAIText</t>
  </si>
  <si>
    <t xml:space="preserve">AddNode</t>
  </si>
  <si>
    <t xml:space="preserve">「……起動確認。生体認証……完了。</t>
  </si>
  <si>
    <t xml:space="preserve">DeleteNode</t>
  </si>
  <si>
    <t xml:space="preserve">はじめまして、調律者さま。支援AIのリュミです。」</t>
  </si>
  <si>
    <t xml:space="preserve">AddEffect</t>
  </si>
  <si>
    <t xml:space="preserve">「さっきの放送、聞こえていましたか？</t>
  </si>
  <si>
    <t xml:space="preserve">RemoveEffect</t>
  </si>
  <si>
    <t xml:space="preserve">"共に歩んでください"──なかなか立派なことを言いますよね。</t>
  </si>
  <si>
    <t xml:space="preserve">WaitDelayMillSec</t>
  </si>
  <si>
    <t xml:space="preserve">でも、実際に泥をかぶるのは、ぼくらの方です。」</t>
  </si>
  <si>
    <t xml:space="preserve">AnimationPlay</t>
  </si>
  <si>
    <t xml:space="preserve">Opening1</t>
  </si>
  <si>
    <t xml:space="preserve">「ここは第7居住区。通称"ナナク"。</t>
  </si>
  <si>
    <t xml:space="preserve">WaitAnimation</t>
  </si>
  <si>
    <t xml:space="preserve">小さな区画ですが……正直、状態は良くないです。</t>
  </si>
  <si>
    <t xml:space="preserve">SetCameraPosition</t>
  </si>
  <si>
    <t xml:space="preserve">水も、電気も、まともに通っていません。」</t>
  </si>
  <si>
    <t xml:space="preserve">SetCameraScale</t>
  </si>
  <si>
    <t xml:space="preserve">「でも、人はいます。</t>
  </si>
  <si>
    <t xml:space="preserve">100,-100</t>
  </si>
  <si>
    <t xml:space="preserve">瓦礫の中で、それでも暮らしている人たちが。」</t>
  </si>
  <si>
    <t xml:space="preserve">1.5,1.5,1</t>
  </si>
  <si>
    <t xml:space="preserve">「さて──あちらが"掲示板"です。</t>
  </si>
  <si>
    <t xml:space="preserve">-550, 200</t>
  </si>
  <si>
    <t xml:space="preserve">住民の声は中央で取りまとめられ、依頼としてここに届きます。</t>
  </si>
  <si>
    <t xml:space="preserve">-550,-100</t>
  </si>
  <si>
    <t xml:space="preserve">調律者さまは、この依頼を読んで、叶えていく。</t>
  </si>
  <si>
    <t xml:space="preserve">-175, 275</t>
  </si>
  <si>
    <t xml:space="preserve">それがお仕事です。」</t>
  </si>
  <si>
    <t xml:space="preserve">225, 25</t>
  </si>
  <si>
    <t xml:space="preserve">「最初の依頼がもう届いているようですね。</t>
  </si>
  <si>
    <t xml:space="preserve">-500, 650</t>
  </si>
  <si>
    <t xml:space="preserve">水と電気──生活の最低限です。</t>
  </si>
  <si>
    <t xml:space="preserve">-1050, 450</t>
  </si>
  <si>
    <t xml:space="preserve">ぼくがつなぎ方を案内しますから、一緒にやりましょう。」</t>
  </si>
  <si>
    <t xml:space="preserve">-1175, 125</t>
  </si>
  <si>
    <t xml:space="preserve">-1000, -250</t>
  </si>
  <si>
    <t xml:space="preserve">ナナク日報（号外）</t>
  </si>
  <si>
    <t xml:space="preserve">-550, -475</t>
  </si>
  <si>
    <t xml:space="preserve">「ついに調律者が着任──第7居住区にも復興の光」</t>
  </si>
  <si>
    <t xml:space="preserve">75, 675</t>
  </si>
  <si>
    <t xml:space="preserve">長らく放置されていた当区にも、ようやく調律者が配属された。住民からは期待の声が上がっている。水処理・発電設備の稼働が最優先とのこと。 </t>
  </si>
  <si>
    <t xml:space="preserve">600, 550</t>
  </si>
  <si>
    <t xml:space="preserve">0, 0</t>
  </si>
  <si>
    <t xml:space="preserve">575, 25</t>
  </si>
  <si>
    <t xml:space="preserve">575, -300</t>
  </si>
  <si>
    <t xml:space="preserve">225, -300</t>
  </si>
  <si>
    <t xml:space="preserve">0.8,0.8,1</t>
  </si>
  <si>
    <t xml:space="preserve">タイトル</t>
  </si>
  <si>
    <t xml:space="preserve">AIセリフ</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</si>
  <si>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</si>
  <si>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</si>
  <si>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</si>
  <si>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</si>
  <si>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</si>
  <si>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</si>
  <si>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</si>
  <si>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</si>
  <si>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</si>
  <si>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</si>
  <si>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Message:string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</si>
  <si>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</si>
  <si>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</si>
  <si>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</si>
  <si>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</si>
  <si>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</si>
  <si>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</si>
  <si>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</si>
  <si>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畑に水を</t>
  </si>
  <si>
    <t xml:space="preserve">調律者さん、来てくれたんだな。ありがたい。この畑、もう何日も水が来てないんだ。土はカラカラで、種を蒔いても芽が出やしない。まずは水さえ通してくれれば、こっちでなんとかする。頼むよ。</t>
  </si>
  <si>
    <t xml:space="preserve">寡黙だが実直で、自分の仕事に誇りを持っている方のようです。調律者様に対して過度な期待はしていないです。腕の見せ所ですね。</t>
  </si>
  <si>
    <t xml:space="preserve">農業の人</t>
  </si>
  <si>
    <t xml:space="preserve">出力を上げる</t>
  </si>
  <si>
    <t xml:space="preserve">なし</t>
  </si>
  <si>
    <t xml:space="preserve">暗い部屋はもう嫌</t>
  </si>
  <si>
    <t xml:space="preserve">あのね、あたしのおうち、ずっとまっくらなの。おかあさんが、もうすぐなおるよって言うけど、ずっとなおらない。おみずもでないから、おかあさんいつもつかれてる。なおしてくれるひとがくるって、ほんと？</t>
  </si>
  <si>
    <r>
      <rPr>
        <sz val="10"/>
        <color theme="1"/>
        <rFont val="ＭＳ Ｐゴシック"/>
        <family val="2"/>
        <charset val="1"/>
      </rPr>
      <t xml:space="preserve">女の子・・ </t>
    </r>
    <r>
      <rPr>
        <sz val="10"/>
        <color theme="1"/>
        <rFont val="Times New Roman"/>
        <family val="1"/>
        <charset val="128"/>
      </rPr>
      <t xml:space="preserve">8</t>
    </r>
    <r>
      <rPr>
        <sz val="10"/>
        <color theme="1"/>
        <rFont val="ＭＳ Ｐゴシック"/>
        <family val="2"/>
        <charset val="1"/>
      </rPr>
      <t xml:space="preserve">歳くらいでしょうか。  第</t>
    </r>
    <r>
      <rPr>
        <sz val="10"/>
        <color theme="1"/>
        <rFont val="Times New Roman"/>
        <family val="1"/>
        <charset val="128"/>
      </rPr>
      <t xml:space="preserve">7</t>
    </r>
    <r>
      <rPr>
        <sz val="10"/>
        <color theme="1"/>
        <rFont val="ＭＳ Ｐゴシック"/>
        <family val="2"/>
        <charset val="1"/>
      </rPr>
      <t xml:space="preserve">居住区の復興は全く進んでいないのかもしれません。急いで助けてあげましょう！</t>
    </r>
  </si>
  <si>
    <t xml:space="preserve">小学生（女）</t>
  </si>
  <si>
    <t xml:space="preserve">飯が足りない</t>
  </si>
  <si>
    <t xml:space="preserve">水が通ったのはありがてぇが、肝心の飯がまだだ。畑は動き出したって聞いたが、うちにはまだ回ってきてねぇ。腹が減っちゃ何もできやしない。食料をこっちに回してくれ。</t>
  </si>
  <si>
    <t xml:space="preserve">口は悪いが悪人ではないですよ。・・たぶん。この人の言う通り食料はまだまだ足りてないようです。すべての住居に食料を運んであげましょう。</t>
  </si>
  <si>
    <t xml:space="preserve">中年（男）</t>
  </si>
  <si>
    <t xml:space="preserve">居住モジュール開放</t>
  </si>
  <si>
    <t xml:space="preserve">種の品種を増やしたい</t>
  </si>
  <si>
    <t xml:space="preserve">水が来て、ようやくまともに作物が育つようになった。感謝してるよ。だが正直、今の品種だけじゃ収穫量が心もとない。肥料になるものか、手伝ってくれる人手があれば、もっといい作物が作れるんだが……。</t>
  </si>
  <si>
    <t xml:space="preserve">モジュールのレベルアップでこの人の願いはかなえられそうです。ただ、レベルアップしたモジュールは必要な資源も増えるので気を付けてくださいね。</t>
  </si>
  <si>
    <t xml:space="preserve">複数ノードのレベル上げる</t>
  </si>
  <si>
    <t xml:space="preserve">農業モジュール開放</t>
  </si>
  <si>
    <t xml:space="preserve">瓦礫が邪魔だ</t>
  </si>
  <si>
    <t xml:space="preserve">通路を塞いでる瓦礫、なんとかなりませんか。あれがあると資材の運搬もままならない。人手を出せば片付くはずなんですが、誰が指示を出すかで揉めてて進まないんです。調律者さんの権限で動かしてもらえれば助かります。</t>
  </si>
  <si>
    <t xml:space="preserve">確かに区画の動線は重要です。それに瓦礫は資源として売れますし一石二鳥です。国がやってくれたらもっと復興が早く進んだと思うのですが・・調律者様なら楽勝ですね。</t>
  </si>
  <si>
    <t xml:space="preserve">青年（男）</t>
  </si>
  <si>
    <t xml:space="preserve">ノードの合計の数を下げる</t>
  </si>
  <si>
    <t xml:space="preserve">商業モジュール開放</t>
  </si>
  <si>
    <t xml:space="preserve">うちにも水を</t>
  </si>
  <si>
    <t xml:space="preserve">隣の家にはもう水が来ているのに、うちはまだなんです。子どもが毎日、バケツを持って隣まで水をもらいに行っているんですよ。同じ区画に住んでいるのに、この差はなんなんでしょう。……お願いします。うちにも水を引いてください。</t>
  </si>
  <si>
    <t xml:space="preserve">あ、この方、あの女の子の母親のようです。まだ生活に追われているようですね。あの子ためにも頑張っちゃいましょう。 </t>
  </si>
  <si>
    <t xml:space="preserve">中年（女）</t>
  </si>
  <si>
    <t xml:space="preserve">もっと畑が要る</t>
  </si>
  <si>
    <t xml:space="preserve">ありがとう、おかげで農業の生産は安定してきた。だが、この区画の腹を満たすには畑がひとつじゃ足りない。新しく農地を増やせないか。資金が必要なら上に掛け合ってみてくれ。こっちは土と種の準備はできている。</t>
  </si>
  <si>
    <t xml:space="preserve">この人毎回来ますね。けど食は生活の基盤です。それが分かっているからこそ、みんなの代わりに声を上げてくれているのですね。</t>
  </si>
  <si>
    <t xml:space="preserve">設備増強の許可が下りました</t>
  </si>
  <si>
    <t xml:space="preserve">調律者さま、中央から連絡です。これまでの成果が評価され、資金使用の権限が付与されました。資金を使えば、既存設備の出力を上げることができます。まずは水処理と発電の増強を試してみてください。</t>
  </si>
  <si>
    <r>
      <rPr>
        <sz val="10"/>
        <color theme="1"/>
        <rFont val="ＭＳ Ｐゴシック"/>
        <family val="2"/>
        <charset val="1"/>
      </rPr>
      <t xml:space="preserve">えへへ。僕も依頼を出してみました。緊張して何度も内容を見直していたので寝不足です（</t>
    </r>
    <r>
      <rPr>
        <sz val="10"/>
        <color theme="1"/>
        <rFont val="Times New Roman"/>
        <family val="1"/>
        <charset val="128"/>
      </rPr>
      <t xml:space="preserve">_ _</t>
    </r>
    <r>
      <rPr>
        <sz val="10"/>
        <color theme="1"/>
        <rFont val="ＭＳ Ｐゴシック"/>
        <family val="2"/>
        <charset val="1"/>
      </rPr>
      <t xml:space="preserve">）</t>
    </r>
    <r>
      <rPr>
        <sz val="10"/>
        <color theme="1"/>
        <rFont val="Times New Roman"/>
        <family val="1"/>
        <charset val="128"/>
      </rPr>
      <t xml:space="preserve">zZZ</t>
    </r>
  </si>
  <si>
    <t xml:space="preserve">AI</t>
  </si>
  <si>
    <t xml:space="preserve">手を動かしたい</t>
  </si>
  <si>
    <t xml:space="preserve">飯はもらえるようになった。ありがたいよ。だがな、ただ食って寝るだけの毎日はきついんだ。俺は手先を動かしてなんぼの人間なんだよ。工場でもなんでもいい、働ける場所をくれ。道具が作れりゃ、この区画はもっと良くなる。 </t>
  </si>
  <si>
    <t xml:space="preserve">あ、この方は以前も依頼をくれた・・口の悪い・・方ですね。 働く活力がわいてきたようで復興が進んでいるのを感じますね。</t>
  </si>
  <si>
    <t xml:space="preserve">道具が必要だ</t>
  </si>
  <si>
    <t xml:space="preserve">畑は増えたが、道具の方がもう限界でな。鍬も鎌もガタがきてる。ごまかしごまかしやってきたが、そろそろ本格的にまずい。近々工場ができるって聞いたんだが、道具を作れるようになったら回してもらえないか。</t>
  </si>
  <si>
    <t xml:space="preserve">ずっと自分で修理して使ってたってすごいですね。ぜひ工場を作って道具を届けてあげましょう。</t>
  </si>
  <si>
    <t xml:space="preserve">食品加工モジュール開放</t>
  </si>
  <si>
    <t xml:space="preserve">物を売れる場所がほしい</t>
  </si>
  <si>
    <t xml:space="preserve">工場が動き出してから、区画内に物が増えてきましたよね。でも今のままだと作ったものが倉庫に積まれていくだけだ。売る場所があれば金が回る。金が回れば、この区画はもっとやれる。商店を開かせてもらえませんか。</t>
  </si>
  <si>
    <t xml:space="preserve">あ、この方は瓦礫依頼をくれた人ですね。資料に瓦礫を売るを手伝って、通常の倍額で売れたと書かれています。とても有能な方のようですが、倍額って・・本当でしょうか。</t>
  </si>
  <si>
    <t xml:space="preserve">お腹いっぱい食べたい</t>
  </si>
  <si>
    <t xml:space="preserve">配給の食事、量が少なくて……。お母さんはいつも私に多めにくれるけど、お母さん自身はあんまり食べてない気がします。もう少しだけ、食べ物が増えたらいいのに。</t>
  </si>
  <si>
    <t xml:space="preserve">調律者様の手腕でこの区画は急成長を遂げています。ですが、その影響か食料の生産が追い付いていないようです。急いで届けてあげましょう。</t>
  </si>
  <si>
    <t xml:space="preserve">学生（女）</t>
  </si>
  <si>
    <t xml:space="preserve">農業の街にしよう</t>
  </si>
  <si>
    <t xml:space="preserve">なあ調律者さん、ちょっと聞いてくれ。最近、上の方からこの区画の「方針」を決めろって話が来てるらしいな。俺はもちろん農業を推すよ。食い物を作れる区画は強い。飢えない街は揺るがない。それが俺の信じてることだ。</t>
  </si>
  <si>
    <t xml:space="preserve">この方とは最初からの付き合いですね。依頼の中で食の大切さを教えていただきました。この区画の農業の代表者のような立場になったようです。</t>
  </si>
  <si>
    <t xml:space="preserve">選択</t>
  </si>
  <si>
    <t xml:space="preserve">大規模農業 区画</t>
  </si>
  <si>
    <t xml:space="preserve">ものづくりの街にしよう </t>
  </si>
  <si>
    <t xml:space="preserve">調律者殿、少しお時間を。区画の方針について意見を述べさせてください。我々の工場は今や区画の屋台骨です。他の区画が必要とする道具や部品を供給できる。食料は他から買えばいい。だが「技術」は、ここでしか育てられない。</t>
  </si>
  <si>
    <t xml:space="preserve">この方は・・！あの口の悪かった人のようです。人って変わるもんですね。働き者でこの区画の労働者の代表のような立場になったようです。</t>
  </si>
  <si>
    <t xml:space="preserve">工場の人</t>
  </si>
  <si>
    <t xml:space="preserve">工業特化 区画</t>
  </si>
  <si>
    <t xml:space="preserve">商いの街にしよう </t>
  </si>
  <si>
    <t xml:space="preserve">調律者さん、方針の件、僕からも一つ。この区画の強みは「位置」です。他の区画との中継点として商業を軸にすれば、物も金も人も集まる。生産に特化するより、流通で勝負した方がこの区画は伸びると思います。</t>
  </si>
  <si>
    <t xml:space="preserve">商売の鬼の人ですね。この方に売れないものはないと聞いています。・・本当でしょうか。今やこの区画の商業の代表のような立場になったようです。</t>
  </si>
  <si>
    <t xml:space="preserve">巨大商業 区画</t>
  </si>
  <si>
    <t xml:space="preserve">この街を胸を張れる場所に</t>
  </si>
  <si>
    <t xml:space="preserve">あんた、よくやってくれたねえ。水が出て、明かりがついて、飯も食えるようになった。あの頃を思えば夢みたいだよ。……でもね、もう少しだけ欲を言わせておくれ。この区画を、外の人にも胸を張れる場所にしたいんだ。お金がもっと回るようになれば、きっとそれができる。</t>
  </si>
  <si>
    <t xml:space="preserve">かなり昔からここに住んでいる方のようです。胸を張って生きられる区画ってとても良いですね。僕も胸を張りたいので頑張っちゃいます。</t>
  </si>
  <si>
    <t xml:space="preserve">老人（女）</t>
  </si>
  <si>
    <t xml:space="preserve">収入を増やす</t>
  </si>
  <si>
    <t xml:space="preserve">夜道が怖い</t>
  </si>
  <si>
    <t xml:space="preserve">最近、人が増えてきたのはいいんですけど……夜、一人で歩くのがちょっと怖くなりました。前はみんな顔見知りだったのに、今は知らない人も多くて。何か、安心できる仕組みがあるといいんですが。</t>
  </si>
  <si>
    <t xml:space="preserve">人が増えてくるとどうしても犯罪というのは増えてしまいます。悲しいです。必要なモジュールに安全を届けて安心してもらいましょう。</t>
  </si>
  <si>
    <t xml:space="preserve">青年（女）</t>
  </si>
  <si>
    <t xml:space="preserve">Chapter,Section</t>
  </si>
  <si>
    <t xml:space="preserve">この要求を受け入れますか？</t>
  </si>
  <si>
    <t xml:space="preserve">ノードの数を増やす</t>
  </si>
  <si>
    <t xml:space="preserve">{0}ノードを{1}以上にする。</t>
  </si>
  <si>
    <t xml:space="preserve">ノードの数を減らす</t>
  </si>
  <si>
    <t xml:space="preserve">{0}ノードを{1}以下にする。</t>
  </si>
  <si>
    <t xml:space="preserve">Lv.{2}以上の{0}ノードを{1}以上にする。</t>
  </si>
  <si>
    <t xml:space="preserve">全ノードのレベル上げる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</si>
  <si>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</si>
  <si>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</si>
  <si>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</si>
  <si>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</si>
  <si>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</si>
  <si>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</si>
  <si>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</si>
  <si>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</si>
  <si>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</si>
  <si>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老人（男）</t>
  </si>
  <si>
    <t xml:space="preserve">商業の人</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</si>
  <si>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</si>
  <si>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</si>
  <si>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</si>
  <si>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</si>
  <si>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</si>
  <si>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</si>
  <si>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</si>
  <si>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</si>
  <si>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</si>
  <si>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</si>
  <si>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</si>
  <si>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{0}を作成できるようになります。</t>
  </si>
  <si>
    <t xml:space="preserve">工業モジュール開放</t>
  </si>
  <si>
    <t xml:space="preserve">{0}の出力が永久に+{1}％</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</si>
  <si>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</si>
  <si>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</si>
  <si>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</si>
  <si>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</si>
  <si>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</si>
  <si>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</si>
  <si>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</si>
  <si>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</si>
  <si>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</si>
  <si>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{0}が追加で{2}を{1}つ出力するようになる。</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</si>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</sst>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32">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i val="true"/>
      <sz val="11"/>
      <color theme="1"/>
      <name val="ＭＳ Ｐゴシック"/>
      <family val="2"/>
      <charset val="1"/>
    </font>
    <font>
      <b val="true"/>
      <sz val="11"/>
      <color theme="1"/>
      <name val="ＭＳ Ｐゴシック"/>
      <family val="2"/>
      <charset val="1"/>
    </font>
    <font>
      <sz val="9"/>
      <color theme="9" tint="0.3999"/>
      <name val="ＭＳ ゴシック"/>
      <family val="3"/>
      <charset val="128"/>
    </font>
    <font>
      <sz val="10"/>
      <color theme="1"/>
      <name val="ＭＳ Ｐゴシック"/>
      <family val="2"/>
      <charset val="1"/>
    </font>
  </fonts>
  <fills count="21">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72F"/>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72F"/>
      </patternFill>
    </fill>
    <fill>
      <patternFill patternType="solid">
        <fgColor rgb="FFFF972F"/>
        <bgColor rgb="FFFFC000"/>
      </patternFill>
    </fill>
    <fill>
      <patternFill patternType="solid">
        <fgColor theme="9" tint="0.5999"/>
        <bgColor rgb="FFFAC090"/>
      </patternFill>
    </fill>
    <fill>
      <patternFill patternType="solid">
        <fgColor theme="1" tint="0.2499"/>
        <bgColor rgb="FF595959"/>
      </patternFill>
    </fill>
  </fills>
  <borders count="4">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79">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22" fillId="18" borderId="1" xfId="0" applyFont="true" applyBorder="true" applyAlignment="true" applyProtection="true">
      <alignment horizontal="general" vertical="center" textRotation="0" wrapText="false" indent="0" shrinkToFit="false"/>
      <protection locked="true" hidden="false"/>
    </xf>
    <xf numFmtId="164" fontId="28" fillId="0" borderId="0" xfId="0" applyFont="true" applyBorder="false" applyAlignment="true" applyProtection="true">
      <alignment horizontal="general" vertical="bottom" textRotation="0" wrapText="tru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true" indent="0" shrinkToFit="false"/>
      <protection locked="true" hidden="false"/>
    </xf>
    <xf numFmtId="164" fontId="24" fillId="19" borderId="1" xfId="0" applyFont="true" applyBorder="true" applyAlignment="true" applyProtection="true">
      <alignment horizontal="general" vertical="center" textRotation="0" wrapText="false" indent="0" shrinkToFit="false"/>
      <protection locked="true" hidden="false"/>
    </xf>
    <xf numFmtId="164" fontId="30" fillId="5" borderId="1" xfId="0" applyFont="true" applyBorder="true" applyAlignment="true" applyProtection="true">
      <alignment horizontal="general" vertical="center" textRotation="0" wrapText="false" indent="0" shrinkToFit="false"/>
      <protection locked="true" hidden="false"/>
    </xf>
    <xf numFmtId="164" fontId="21" fillId="19"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true" indent="0" shrinkToFit="false"/>
      <protection locked="true" hidden="false"/>
    </xf>
    <xf numFmtId="164" fontId="0" fillId="0" borderId="3" xfId="0" applyFont="true" applyBorder="true" applyAlignment="true" applyProtection="true">
      <alignment horizontal="general" vertical="bottom" textRotation="0" wrapText="true" indent="0" shrinkToFit="false"/>
      <protection locked="true" hidden="false"/>
    </xf>
    <xf numFmtId="164" fontId="30" fillId="20"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72F"/>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5400</xdr:colOff>
          <xdr:row>2</xdr:row>
          <xdr:rowOff>5400</xdr:rowOff>
        </xdr:from>
        <xdr:to>
          <xdr:col>4</xdr:col>
          <xdr:colOff>-5400</xdr:colOff>
          <xdr:row>3</xdr:row>
          <xdr:rowOff>5400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0</xdr:colOff>
          <xdr:row>2</xdr:row>
          <xdr:rowOff>5400</xdr:rowOff>
        </xdr:from>
        <xdr:to>
          <xdr:col>6</xdr:col>
          <xdr:colOff>-5400</xdr:colOff>
          <xdr:row>3</xdr:row>
          <xdr:rowOff>5400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8" activeCellId="0" sqref="B8"/>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A12" s="8" t="s">
        <v>33</v>
      </c>
      <c r="B12" s="12" t="s">
        <v>34</v>
      </c>
      <c r="I12" s="16"/>
    </row>
    <row r="13" customFormat="false" ht="13.8" hidden="false" customHeight="false" outlineLevel="0" collapsed="false">
      <c r="I13" s="17" t="s">
        <v>35</v>
      </c>
    </row>
    <row r="14" customFormat="false" ht="13.8" hidden="false" customHeight="false" outlineLevel="0" collapsed="false">
      <c r="I14" s="16"/>
    </row>
    <row r="15" customFormat="false" ht="13.8" hidden="false" customHeight="false" outlineLevel="0" collapsed="false">
      <c r="J15" s="4" t="s">
        <v>36</v>
      </c>
    </row>
    <row r="16" customFormat="false" ht="13.8" hidden="false" customHeight="false" outlineLevel="0" collapsed="false">
      <c r="J16" s="4" t="s">
        <v>37</v>
      </c>
    </row>
    <row r="17" customFormat="false" ht="13.8" hidden="false" customHeight="false" outlineLevel="0" collapsed="false"/>
    <row r="18" customFormat="false" ht="13.8" hidden="false" customHeight="false" outlineLevel="0" collapsed="false">
      <c r="J18" s="4" t="s">
        <v>38</v>
      </c>
    </row>
    <row r="19" customFormat="false" ht="13.8" hidden="false" customHeight="false" outlineLevel="0" collapsed="false">
      <c r="J19" s="4" t="s">
        <v>39</v>
      </c>
    </row>
    <row r="20" customFormat="false" ht="13.8" hidden="false" customHeight="false" outlineLevel="0" collapsed="false"/>
    <row r="21" customFormat="false" ht="13.8" hidden="false" customHeight="false" outlineLevel="0" collapsed="false">
      <c r="J21" s="4" t="s">
        <v>40</v>
      </c>
    </row>
    <row r="22" customFormat="false" ht="13.8" hidden="false" customHeight="false" outlineLevel="0" collapsed="false">
      <c r="J22" s="4" t="s">
        <v>41</v>
      </c>
    </row>
    <row r="23" customFormat="false" ht="13.8" hidden="false" customHeight="false" outlineLevel="0" collapsed="false"/>
    <row r="24" customFormat="false" ht="13.8" hidden="false" customHeight="false" outlineLevel="0" collapsed="false">
      <c r="J24" s="4" t="s">
        <v>42</v>
      </c>
    </row>
    <row r="25" customFormat="false" ht="13.8" hidden="false" customHeight="false" outlineLevel="0" collapsed="false">
      <c r="J25" s="4" t="s">
        <v>43</v>
      </c>
    </row>
    <row r="26" customFormat="false" ht="13.8" hidden="false" customHeight="false" outlineLevel="0" collapsed="false">
      <c r="J26" s="4" t="s">
        <v>44</v>
      </c>
    </row>
    <row r="27" customFormat="false" ht="13.8" hidden="false" customHeight="false" outlineLevel="0" collapsed="false">
      <c r="J27" s="4" t="s">
        <v>45</v>
      </c>
    </row>
    <row r="28" customFormat="false" ht="13.8" hidden="false" customHeight="false" outlineLevel="0" collapsed="false"/>
    <row r="29" customFormat="false" ht="13.8" hidden="false" customHeight="false" outlineLevel="0" collapsed="false">
      <c r="I29" s="18"/>
      <c r="J29" s="4" t="s">
        <v>46</v>
      </c>
    </row>
    <row r="30" customFormat="false" ht="13.8" hidden="false" customHeight="false" outlineLevel="0" collapsed="false">
      <c r="J30" s="4" t="s">
        <v>47</v>
      </c>
    </row>
    <row r="31" customFormat="false" ht="13.8" hidden="false" customHeight="false" outlineLevel="0" collapsed="false">
      <c r="J31" s="4" t="s">
        <v>48</v>
      </c>
    </row>
    <row r="32" customFormat="false" ht="13.8" hidden="false" customHeight="false" outlineLevel="0" collapsed="false"/>
    <row r="33" customFormat="false" ht="13.8" hidden="false" customHeight="false" outlineLevel="0" collapsed="false">
      <c r="J33" s="4" t="s">
        <v>49</v>
      </c>
    </row>
    <row r="34" customFormat="false" ht="13.8" hidden="false" customHeight="false" outlineLevel="0" collapsed="false">
      <c r="J34" s="4" t="s">
        <v>50</v>
      </c>
    </row>
    <row r="35" customFormat="false" ht="13.8" hidden="false" customHeight="false" outlineLevel="0" collapsed="false">
      <c r="J35" s="4" t="s">
        <v>51</v>
      </c>
    </row>
    <row r="36" customFormat="false" ht="13.8" hidden="false" customHeight="false" outlineLevel="0" collapsed="false"/>
    <row r="37" customFormat="false" ht="13.8" hidden="false" customHeight="false" outlineLevel="0" collapsed="false">
      <c r="J37" s="4" t="s">
        <v>52</v>
      </c>
    </row>
    <row r="38" customFormat="false" ht="13.8" hidden="false" customHeight="false" outlineLevel="0" collapsed="false">
      <c r="J38" s="4" t="s">
        <v>53</v>
      </c>
    </row>
    <row r="39" customFormat="false" ht="13.8" hidden="false" customHeight="false" outlineLevel="0" collapsed="false">
      <c r="J39" s="4" t="s">
        <v>54</v>
      </c>
    </row>
    <row r="40" customFormat="false" ht="13.8" hidden="false" customHeight="false" outlineLevel="0" collapsed="false"/>
    <row r="41" customFormat="false" ht="13.8" hidden="false" customHeight="false" outlineLevel="0" collapsed="false">
      <c r="I41" s="18" t="s">
        <v>55</v>
      </c>
    </row>
    <row r="42" customFormat="false" ht="13.8" hidden="false" customHeight="false" outlineLevel="0" collapsed="false">
      <c r="J42" s="4" t="s">
        <v>56</v>
      </c>
    </row>
    <row r="43" customFormat="false" ht="13.8" hidden="false" customHeight="false" outlineLevel="0" collapsed="false">
      <c r="J43" s="4" t="s">
        <v>57</v>
      </c>
    </row>
    <row r="44" customFormat="false" ht="13.8" hidden="false" customHeight="false" outlineLevel="0" collapsed="false">
      <c r="J44" s="4" t="s">
        <v>58</v>
      </c>
    </row>
    <row r="45" customFormat="false" ht="13.8" hidden="false" customHeight="false" outlineLevel="0" collapsed="false"/>
    <row r="46" customFormat="false" ht="13.8" hidden="false" customHeight="false" outlineLevel="0" collapsed="false">
      <c r="J46" s="4" t="s">
        <v>59</v>
      </c>
    </row>
    <row r="47" customFormat="false" ht="13.8" hidden="false" customHeight="false" outlineLevel="0" collapsed="false">
      <c r="J47" s="4" t="s">
        <v>60</v>
      </c>
    </row>
    <row r="48" customFormat="false" ht="13.8" hidden="false" customHeight="false" outlineLevel="0" collapsed="false"/>
    <row r="49" customFormat="false" ht="13.8" hidden="false" customHeight="false" outlineLevel="0" collapsed="false">
      <c r="J49" s="4" t="s">
        <v>61</v>
      </c>
    </row>
    <row r="50" customFormat="false" ht="13.8" hidden="false" customHeight="false" outlineLevel="0" collapsed="false">
      <c r="J50" s="4" t="s">
        <v>62</v>
      </c>
    </row>
    <row r="51" customFormat="false" ht="13.8" hidden="false" customHeight="false" outlineLevel="0" collapsed="false">
      <c r="J51" s="4" t="s">
        <v>63</v>
      </c>
    </row>
    <row r="52" customFormat="false" ht="13.8" hidden="false" customHeight="false" outlineLevel="0" collapsed="false"/>
    <row r="53" customFormat="false" ht="13.8" hidden="false" customHeight="false" outlineLevel="0" collapsed="false">
      <c r="J53" s="4" t="s">
        <v>64</v>
      </c>
    </row>
    <row r="54" customFormat="false" ht="13.8" hidden="false" customHeight="false" outlineLevel="0" collapsed="false">
      <c r="J54" s="4" t="s">
        <v>65</v>
      </c>
    </row>
    <row r="55" customFormat="false" ht="13.8" hidden="false" customHeight="false" outlineLevel="0" collapsed="false"/>
    <row r="56" customFormat="false" ht="13.8" hidden="false" customHeight="false" outlineLevel="0" collapsed="false">
      <c r="J56" s="4" t="s">
        <v>66</v>
      </c>
    </row>
    <row r="57" customFormat="false" ht="13.8" hidden="false" customHeight="false" outlineLevel="0" collapsed="false">
      <c r="J57" s="4" t="s">
        <v>67</v>
      </c>
    </row>
    <row r="58" customFormat="false" ht="13.8" hidden="false" customHeight="false" outlineLevel="0" collapsed="false"/>
    <row r="59" customFormat="false" ht="13.8" hidden="false" customHeight="false" outlineLevel="0" collapsed="false">
      <c r="J59" s="4" t="s">
        <v>68</v>
      </c>
    </row>
    <row r="60" customFormat="false" ht="13.8" hidden="false" customHeight="false" outlineLevel="0" collapsed="false">
      <c r="J60" s="4" t="s">
        <v>69</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5400</xdr:colOff>
                    <xdr:row>2</xdr:row>
                    <xdr:rowOff>5400</xdr:rowOff>
                  </from>
                  <to>
                    <xdr:col>4</xdr:col>
                    <xdr:colOff>-5400</xdr:colOff>
                    <xdr:row>3</xdr:row>
                    <xdr:rowOff>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70</v>
      </c>
      <c r="D1" s="27" t="s">
        <v>71</v>
      </c>
      <c r="F1" s="28" t="s">
        <v>72</v>
      </c>
      <c r="G1" s="28" t="s">
        <v>73</v>
      </c>
    </row>
    <row r="2" customFormat="false" ht="13.8" hidden="false" customHeight="false" outlineLevel="0" collapsed="false">
      <c r="A2" s="8" t="s">
        <v>4</v>
      </c>
      <c r="B2" s="9" t="s">
        <v>74</v>
      </c>
      <c r="C2" s="29" t="s">
        <v>75</v>
      </c>
      <c r="D2" s="29" t="s">
        <v>76</v>
      </c>
      <c r="F2" s="30"/>
      <c r="K2" s="31" t="s">
        <v>6</v>
      </c>
    </row>
    <row r="3" customFormat="false" ht="13.8" hidden="false" customHeight="false" outlineLevel="0" collapsed="false">
      <c r="A3" s="8" t="s">
        <v>7</v>
      </c>
      <c r="B3" s="32" t="s">
        <v>77</v>
      </c>
      <c r="C3" s="29" t="s">
        <v>75</v>
      </c>
      <c r="D3" s="29" t="s">
        <v>76</v>
      </c>
      <c r="L3" s="33" t="s">
        <v>9</v>
      </c>
    </row>
    <row r="4" customFormat="false" ht="13.8" hidden="false" customHeight="false" outlineLevel="0" collapsed="false">
      <c r="A4" s="8" t="s">
        <v>30</v>
      </c>
      <c r="B4" s="32" t="s">
        <v>78</v>
      </c>
      <c r="C4" s="29" t="s">
        <v>75</v>
      </c>
      <c r="D4" s="29" t="s">
        <v>76</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79</v>
      </c>
    </row>
    <row r="9" customFormat="false" ht="13.8" hidden="false" customHeight="false" outlineLevel="0" collapsed="false">
      <c r="L9" s="33" t="s">
        <v>80</v>
      </c>
    </row>
    <row r="10" customFormat="false" ht="13.8" hidden="false" customHeight="false" outlineLevel="0" collapsed="false">
      <c r="L10" s="33" t="s">
        <v>81</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35</v>
      </c>
      <c r="L13" s="33"/>
    </row>
    <row r="14" customFormat="false" ht="13.8" hidden="false" customHeight="false" outlineLevel="0" collapsed="false">
      <c r="K14" s="40"/>
      <c r="L14" s="33"/>
    </row>
    <row r="15" customFormat="false" ht="13.8" hidden="false" customHeight="false" outlineLevel="0" collapsed="false">
      <c r="L15" s="33" t="s">
        <v>36</v>
      </c>
    </row>
    <row r="16" customFormat="false" ht="13.8" hidden="false" customHeight="false" outlineLevel="0" collapsed="false">
      <c r="L16" s="33" t="s">
        <v>37</v>
      </c>
    </row>
    <row r="17" customFormat="false" ht="13.8" hidden="false" customHeight="false" outlineLevel="0" collapsed="false">
      <c r="L17" s="33" t="s">
        <v>82</v>
      </c>
    </row>
    <row r="18" customFormat="false" ht="13.8" hidden="false" customHeight="false" outlineLevel="0" collapsed="false">
      <c r="L18" s="42" t="s">
        <v>83</v>
      </c>
    </row>
    <row r="19" customFormat="false" ht="13.8" hidden="false" customHeight="false" outlineLevel="0" collapsed="false">
      <c r="L19" s="42" t="s">
        <v>84</v>
      </c>
    </row>
    <row r="20" customFormat="false" ht="13.8" hidden="false" customHeight="false" outlineLevel="0" collapsed="false"/>
    <row r="21" customFormat="false" ht="13.8" hidden="false" customHeight="false" outlineLevel="0" collapsed="false">
      <c r="L21" s="33" t="s">
        <v>38</v>
      </c>
    </row>
    <row r="22" customFormat="false" ht="13.8" hidden="false" customHeight="false" outlineLevel="0" collapsed="false">
      <c r="L22" s="33" t="s">
        <v>39</v>
      </c>
    </row>
    <row r="23" customFormat="false" ht="13.8" hidden="false" customHeight="false" outlineLevel="0" collapsed="false">
      <c r="L23" s="33"/>
    </row>
    <row r="24" customFormat="false" ht="13.8" hidden="false" customHeight="false" outlineLevel="0" collapsed="false">
      <c r="L24" s="33" t="s">
        <v>40</v>
      </c>
    </row>
    <row r="25" customFormat="false" ht="13.8" hidden="false" customHeight="false" outlineLevel="0" collapsed="false">
      <c r="L25" s="33" t="s">
        <v>41</v>
      </c>
    </row>
    <row r="26" customFormat="false" ht="13.8" hidden="false" customHeight="false" outlineLevel="0" collapsed="false">
      <c r="L26" s="33"/>
    </row>
    <row r="27" customFormat="false" ht="13.8" hidden="false" customHeight="false" outlineLevel="0" collapsed="false">
      <c r="L27" s="33" t="s">
        <v>42</v>
      </c>
    </row>
    <row r="28" customFormat="false" ht="13.8" hidden="false" customHeight="false" outlineLevel="0" collapsed="false">
      <c r="L28" s="33" t="s">
        <v>43</v>
      </c>
    </row>
    <row r="29" customFormat="false" ht="13.8" hidden="false" customHeight="false" outlineLevel="0" collapsed="false">
      <c r="K29" s="43"/>
      <c r="L29" s="33" t="s">
        <v>44</v>
      </c>
    </row>
    <row r="30" customFormat="false" ht="13.8" hidden="false" customHeight="false" outlineLevel="0" collapsed="false">
      <c r="L30" s="33" t="s">
        <v>45</v>
      </c>
    </row>
    <row r="31" customFormat="false" ht="13.8" hidden="false" customHeight="false" outlineLevel="0" collapsed="false"/>
    <row r="32" customFormat="false" ht="13.8" hidden="false" customHeight="false" outlineLevel="0" collapsed="false">
      <c r="K32" s="43" t="s">
        <v>55</v>
      </c>
      <c r="L32" s="33"/>
    </row>
    <row r="33" customFormat="false" ht="13.8" hidden="false" customHeight="false" outlineLevel="0" collapsed="false">
      <c r="L33" s="33"/>
    </row>
    <row r="34" customFormat="false" ht="13.8" hidden="false" customHeight="false" outlineLevel="0" collapsed="false">
      <c r="L34" s="33" t="s">
        <v>85</v>
      </c>
    </row>
    <row r="35" customFormat="false" ht="13.8" hidden="false" customHeight="false" outlineLevel="0" collapsed="false">
      <c r="L35" s="33" t="s">
        <v>86</v>
      </c>
    </row>
    <row r="36" customFormat="false" ht="13.8" hidden="false" customHeight="false" outlineLevel="0" collapsed="false"/>
    <row r="37" customFormat="false" ht="13.8" hidden="false" customHeight="false" outlineLevel="0" collapsed="false">
      <c r="L37" s="33" t="s">
        <v>87</v>
      </c>
    </row>
    <row r="38" customFormat="false" ht="13.8" hidden="false" customHeight="false" outlineLevel="0" collapsed="false">
      <c r="L38" s="33" t="s">
        <v>88</v>
      </c>
    </row>
    <row r="39" customFormat="false" ht="13.8" hidden="false" customHeight="false" outlineLevel="0" collapsed="false"/>
    <row r="40" customFormat="false" ht="13.8" hidden="false" customHeight="false" outlineLevel="0" collapsed="false">
      <c r="L40" s="33" t="s">
        <v>89</v>
      </c>
    </row>
    <row r="41" customFormat="false" ht="13.8" hidden="false" customHeight="false" outlineLevel="0" collapsed="false">
      <c r="L41" s="33" t="s">
        <v>90</v>
      </c>
    </row>
    <row r="42" customFormat="false" ht="13.8" hidden="false" customHeight="false" outlineLevel="0" collapsed="false"/>
    <row r="43" customFormat="false" ht="13.8" hidden="false" customHeight="false" outlineLevel="0" collapsed="false">
      <c r="L43" s="33" t="s">
        <v>91</v>
      </c>
    </row>
    <row r="44" customFormat="false" ht="13.8" hidden="false" customHeight="false" outlineLevel="0" collapsed="false">
      <c r="L44" s="33" t="s">
        <v>92</v>
      </c>
    </row>
    <row r="45" customFormat="false" ht="13.8" hidden="false" customHeight="false" outlineLevel="0" collapsed="false"/>
    <row r="46" customFormat="false" ht="13.8" hidden="false" customHeight="false" outlineLevel="0" collapsed="false">
      <c r="L46" s="33" t="s">
        <v>68</v>
      </c>
    </row>
    <row r="47" customFormat="false" ht="13.8" hidden="false" customHeight="false" outlineLevel="0" collapsed="false">
      <c r="L47" s="33" t="s">
        <v>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0</xdr:colOff>
                    <xdr:row>2</xdr:row>
                    <xdr:rowOff>5400</xdr:rowOff>
                  </from>
                  <to>
                    <xdr:col>6</xdr:col>
                    <xdr:colOff>-5400</xdr:colOff>
                    <xdr:row>3</xdr:row>
                    <xdr:rowOff>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94</v>
      </c>
      <c r="B3" s="46"/>
      <c r="C3" s="46"/>
      <c r="D3" s="46"/>
      <c r="E3" s="46"/>
      <c r="F3" s="46"/>
    </row>
    <row r="4" customFormat="false" ht="13.8" hidden="false" customHeight="false" outlineLevel="0" collapsed="false">
      <c r="A4" s="47" t="s">
        <v>95</v>
      </c>
      <c r="B4" s="47" t="s">
        <v>96</v>
      </c>
      <c r="C4" s="47" t="s">
        <v>97</v>
      </c>
      <c r="D4" s="48" t="s">
        <v>98</v>
      </c>
      <c r="E4" s="48" t="s">
        <v>99</v>
      </c>
      <c r="F4" s="47" t="s">
        <v>100</v>
      </c>
    </row>
    <row r="5" customFormat="false" ht="13.8" hidden="false" customHeight="false" outlineLevel="0" collapsed="false">
      <c r="A5" s="49" t="s">
        <v>101</v>
      </c>
      <c r="B5" s="49" t="s">
        <v>102</v>
      </c>
      <c r="C5" s="49" t="s">
        <v>103</v>
      </c>
      <c r="D5" s="49"/>
      <c r="E5" s="49"/>
      <c r="F5" s="49" t="s">
        <v>104</v>
      </c>
    </row>
    <row r="6" customFormat="false" ht="13.8" hidden="false" customHeight="false" outlineLevel="0" collapsed="false">
      <c r="A6" s="50" t="n">
        <v>0</v>
      </c>
      <c r="B6" s="50" t="s">
        <v>105</v>
      </c>
      <c r="C6" s="50" t="n">
        <v>0</v>
      </c>
      <c r="D6" s="51"/>
      <c r="E6" s="50" t="str">
        <f aca="false" t="array" ref="E6:E6">GETCOLORJSON(D6)</f>
        <v>{"r":1,"g":1,"b":1,"a":1}</v>
      </c>
      <c r="F6" s="50" t="str">
        <f aca="false">E6</f>
        <v>{"r":1,"g":1,"b":1,"a":1}</v>
      </c>
    </row>
    <row r="7" customFormat="false" ht="13.8" hidden="false" customHeight="false" outlineLevel="0" collapsed="false">
      <c r="A7" s="50" t="n">
        <v>1</v>
      </c>
      <c r="B7" s="50" t="s">
        <v>106</v>
      </c>
      <c r="C7" s="50" t="n">
        <v>0</v>
      </c>
      <c r="D7" s="52"/>
      <c r="E7" s="50" t="str">
        <f aca="false" t="array" ref="E7:E7">GETCOLORJSON(D7)</f>
        <v>{"r":1,"g":0.753,"b":0,"a":1}</v>
      </c>
      <c r="F7" s="50" t="str">
        <f aca="false">E7</f>
        <v>{"r":1,"g":0.753,"b":0,"a":1}</v>
      </c>
    </row>
    <row r="8" customFormat="false" ht="13.8" hidden="false" customHeight="false" outlineLevel="0" collapsed="false">
      <c r="A8" s="50" t="n">
        <v>2</v>
      </c>
      <c r="B8" s="50" t="s">
        <v>107</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108</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109</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110</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111</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112</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113</v>
      </c>
      <c r="B14" s="46"/>
      <c r="C14" s="46"/>
      <c r="D14" s="46"/>
      <c r="E14" s="46"/>
      <c r="F14" s="46"/>
    </row>
    <row r="18" customFormat="false" ht="13.8" hidden="false" customHeight="false" outlineLevel="0" collapsed="false">
      <c r="A18" s="59" t="s">
        <v>114</v>
      </c>
    </row>
    <row r="19" customFormat="false" ht="13.8" hidden="false" customHeight="false" outlineLevel="0" collapsed="false">
      <c r="A19"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3: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 activeCellId="0" sqref="B14"/>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5" min="3" style="44" width="13.36"/>
    <col collapsed="false" customWidth="false" hidden="false" outlineLevel="0" max="16384" min="6" style="45" width="9"/>
  </cols>
  <sheetData>
    <row r="3" customFormat="false" ht="13.8" hidden="false" customHeight="false" outlineLevel="0" collapsed="false">
      <c r="A3" s="46" t="s">
        <v>94</v>
      </c>
      <c r="B3" s="46"/>
      <c r="C3" s="46"/>
      <c r="D3" s="46"/>
      <c r="E3" s="46"/>
    </row>
    <row r="4" customFormat="false" ht="13.8" hidden="false" customHeight="false" outlineLevel="0" collapsed="false">
      <c r="A4" s="47" t="s">
        <v>95</v>
      </c>
      <c r="B4" s="47" t="s">
        <v>96</v>
      </c>
      <c r="C4" s="47" t="s">
        <v>116</v>
      </c>
      <c r="D4" s="47" t="s">
        <v>117</v>
      </c>
      <c r="E4" s="47" t="s">
        <v>118</v>
      </c>
    </row>
    <row r="5" customFormat="false" ht="13.8" hidden="false" customHeight="false" outlineLevel="0" collapsed="false">
      <c r="A5" s="49" t="s">
        <v>101</v>
      </c>
      <c r="B5" s="49" t="s">
        <v>102</v>
      </c>
      <c r="C5" s="49" t="s">
        <v>119</v>
      </c>
      <c r="D5" s="49" t="s">
        <v>120</v>
      </c>
      <c r="E5" s="49" t="s">
        <v>121</v>
      </c>
    </row>
    <row r="6" customFormat="false" ht="13.8" hidden="false" customHeight="false" outlineLevel="0" collapsed="false">
      <c r="A6" s="50" t="n">
        <v>1</v>
      </c>
      <c r="B6" s="50" t="s">
        <v>122</v>
      </c>
      <c r="C6" s="50" t="n">
        <v>99</v>
      </c>
      <c r="D6" s="50" t="n">
        <v>99</v>
      </c>
      <c r="E6" s="50" t="n">
        <v>0</v>
      </c>
    </row>
    <row r="7" customFormat="false" ht="13.8" hidden="false" customHeight="false" outlineLevel="0" collapsed="false">
      <c r="A7" s="50" t="n">
        <v>2</v>
      </c>
      <c r="B7" s="50" t="s">
        <v>123</v>
      </c>
      <c r="C7" s="50" t="n">
        <v>99</v>
      </c>
      <c r="D7" s="50" t="n">
        <v>99</v>
      </c>
      <c r="E7" s="50" t="n">
        <v>0</v>
      </c>
    </row>
    <row r="8" customFormat="false" ht="13.8" hidden="false" customHeight="false" outlineLevel="0" collapsed="false">
      <c r="A8" s="50" t="n">
        <v>3</v>
      </c>
      <c r="B8" s="50" t="s">
        <v>124</v>
      </c>
      <c r="C8" s="50" t="n">
        <v>1</v>
      </c>
      <c r="D8" s="50" t="n">
        <v>3</v>
      </c>
      <c r="E8" s="50" t="n">
        <v>1</v>
      </c>
    </row>
    <row r="9" customFormat="false" ht="13.8" hidden="false" customHeight="false" outlineLevel="0" collapsed="false">
      <c r="A9" s="50" t="n">
        <v>4</v>
      </c>
      <c r="B9" s="50" t="s">
        <v>125</v>
      </c>
      <c r="C9" s="50" t="n">
        <v>1</v>
      </c>
      <c r="D9" s="50" t="n">
        <v>3</v>
      </c>
      <c r="E9" s="50" t="n">
        <v>1</v>
      </c>
    </row>
    <row r="10" customFormat="false" ht="13.8" hidden="false" customHeight="false" outlineLevel="0" collapsed="false">
      <c r="A10" s="50" t="n">
        <v>5</v>
      </c>
      <c r="B10" s="50" t="s">
        <v>126</v>
      </c>
      <c r="C10" s="50" t="n">
        <v>1</v>
      </c>
      <c r="D10" s="50" t="n">
        <v>3</v>
      </c>
      <c r="E10" s="50" t="n">
        <v>0</v>
      </c>
    </row>
    <row r="11" customFormat="false" ht="13.8" hidden="false" customHeight="false" outlineLevel="0" collapsed="false">
      <c r="A11" s="50" t="n">
        <v>6</v>
      </c>
      <c r="B11" s="50" t="s">
        <v>127</v>
      </c>
      <c r="C11" s="50" t="n">
        <v>1</v>
      </c>
      <c r="D11" s="50" t="n">
        <v>4</v>
      </c>
      <c r="E11" s="50" t="n">
        <v>1</v>
      </c>
    </row>
    <row r="12" customFormat="false" ht="13.8" hidden="false" customHeight="false" outlineLevel="0" collapsed="false">
      <c r="A12" s="50" t="n">
        <v>7</v>
      </c>
      <c r="B12" s="50" t="s">
        <v>128</v>
      </c>
      <c r="C12" s="50" t="n">
        <v>1</v>
      </c>
      <c r="D12" s="50" t="n">
        <v>5</v>
      </c>
      <c r="E12" s="50" t="n">
        <v>1</v>
      </c>
    </row>
    <row r="13" customFormat="false" ht="13.8" hidden="false" customHeight="false" outlineLevel="0" collapsed="false">
      <c r="A13" s="50" t="n">
        <v>8</v>
      </c>
      <c r="B13" s="50" t="s">
        <v>129</v>
      </c>
      <c r="C13" s="50" t="n">
        <v>99</v>
      </c>
      <c r="D13" s="50" t="n">
        <v>99</v>
      </c>
      <c r="E13" s="50" t="n">
        <v>0</v>
      </c>
    </row>
    <row r="14" customFormat="false" ht="13.8" hidden="false" customHeight="false" outlineLevel="0" collapsed="false">
      <c r="A14" s="50" t="n">
        <v>9</v>
      </c>
      <c r="B14" s="50" t="s">
        <v>130</v>
      </c>
      <c r="C14" s="50" t="n">
        <v>99</v>
      </c>
      <c r="D14" s="50" t="n">
        <v>99</v>
      </c>
      <c r="E14" s="50" t="n">
        <v>1</v>
      </c>
    </row>
    <row r="15" customFormat="false" ht="13.8" hidden="false" customHeight="false" outlineLevel="0" collapsed="false">
      <c r="A15" s="50" t="n">
        <v>10</v>
      </c>
      <c r="B15" s="50" t="s">
        <v>131</v>
      </c>
      <c r="C15" s="50" t="n">
        <v>1</v>
      </c>
      <c r="D15" s="50" t="n">
        <v>6</v>
      </c>
      <c r="E15" s="50" t="n">
        <v>1</v>
      </c>
    </row>
    <row r="16" customFormat="false" ht="13.8" hidden="false" customHeight="false" outlineLevel="0" collapsed="false">
      <c r="A16" s="46" t="s">
        <v>113</v>
      </c>
      <c r="B16" s="46"/>
      <c r="C16" s="46"/>
      <c r="D16" s="46"/>
      <c r="E16" s="46"/>
    </row>
    <row r="21" customFormat="false" ht="13.8" hidden="false" customHeight="false" outlineLevel="0" collapsed="false">
      <c r="A21" s="59" t="s">
        <v>114</v>
      </c>
    </row>
    <row r="22" customFormat="false" ht="13.8" hidden="false" customHeight="false" outlineLevel="0" collapsed="false">
      <c r="A22"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7" activeCellId="0" sqref="D27"/>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95</v>
      </c>
      <c r="B4" s="60" t="s">
        <v>96</v>
      </c>
      <c r="C4" s="47" t="s">
        <v>132</v>
      </c>
      <c r="D4" s="47" t="s">
        <v>133</v>
      </c>
    </row>
    <row r="5" customFormat="false" ht="12.75" hidden="false" customHeight="false" outlineLevel="0" collapsed="false">
      <c r="A5" s="49" t="s">
        <v>101</v>
      </c>
      <c r="B5" s="49" t="s">
        <v>102</v>
      </c>
      <c r="C5" s="49" t="s">
        <v>134</v>
      </c>
      <c r="D5" s="49" t="s">
        <v>135</v>
      </c>
    </row>
    <row r="6" customFormat="false" ht="12.75" hidden="false" customHeight="false" outlineLevel="0" collapsed="false">
      <c r="A6" s="50" t="n">
        <f aca="false">_xlfn.XLOOKUP(B6, ノード!B:B, ノード!A:A, "")</f>
        <v>4</v>
      </c>
      <c r="B6" s="50" t="s">
        <v>125</v>
      </c>
      <c r="C6" s="50" t="n">
        <v>1</v>
      </c>
      <c r="D6" s="50" t="n">
        <v>10</v>
      </c>
    </row>
    <row r="7" customFormat="false" ht="12.75" hidden="false" customHeight="false" outlineLevel="0" collapsed="false">
      <c r="A7" s="50" t="n">
        <f aca="false">_xlfn.XLOOKUP(B7, ノード!B:B, ノード!A:A, "")</f>
        <v>4</v>
      </c>
      <c r="B7" s="50" t="s">
        <v>125</v>
      </c>
      <c r="C7" s="50" t="n">
        <v>2</v>
      </c>
      <c r="D7" s="50" t="n">
        <f aca="false">INT(D6*2.5)</f>
        <v>25</v>
      </c>
    </row>
    <row r="8" customFormat="false" ht="12.75" hidden="false" customHeight="false" outlineLevel="0" collapsed="false">
      <c r="A8" s="50" t="n">
        <f aca="false">_xlfn.XLOOKUP(B8, ノード!B:B, ノード!A:A, "")</f>
        <v>4</v>
      </c>
      <c r="B8" s="50" t="s">
        <v>125</v>
      </c>
      <c r="C8" s="50" t="n">
        <v>3</v>
      </c>
      <c r="D8" s="50" t="n">
        <f aca="false">INT(D7*2.5)</f>
        <v>62</v>
      </c>
    </row>
    <row r="9" customFormat="false" ht="12.75" hidden="false" customHeight="false" outlineLevel="0" collapsed="false">
      <c r="A9" s="50" t="n">
        <f aca="false">_xlfn.XLOOKUP(B9, ノード!B:B, ノード!A:A, "")</f>
        <v>4</v>
      </c>
      <c r="B9" s="50" t="s">
        <v>125</v>
      </c>
      <c r="C9" s="50" t="n">
        <v>4</v>
      </c>
      <c r="D9" s="50" t="n">
        <f aca="false">INT(D8*2.5)</f>
        <v>155</v>
      </c>
    </row>
    <row r="10" customFormat="false" ht="12.75" hidden="false" customHeight="false" outlineLevel="0" collapsed="false">
      <c r="A10" s="50" t="n">
        <f aca="false">_xlfn.XLOOKUP(B10, ノード!B:B, ノード!A:A, "")</f>
        <v>4</v>
      </c>
      <c r="B10" s="50" t="s">
        <v>125</v>
      </c>
      <c r="C10" s="50" t="n">
        <v>5</v>
      </c>
      <c r="D10" s="50" t="n">
        <f aca="false">INT(D9*2.5)</f>
        <v>387</v>
      </c>
    </row>
    <row r="11" customFormat="false" ht="12.75" hidden="false" customHeight="false" outlineLevel="0" collapsed="false">
      <c r="A11" s="50" t="n">
        <f aca="false">_xlfn.XLOOKUP(B11, ノード!B:B, ノード!A:A, "")</f>
        <v>4</v>
      </c>
      <c r="B11" s="50" t="s">
        <v>125</v>
      </c>
      <c r="C11" s="50" t="n">
        <v>6</v>
      </c>
      <c r="D11" s="50" t="n">
        <f aca="false">INT(D10*2.5)</f>
        <v>967</v>
      </c>
    </row>
    <row r="12" customFormat="false" ht="12.75" hidden="false" customHeight="false" outlineLevel="0" collapsed="false">
      <c r="A12" s="50" t="n">
        <f aca="false">_xlfn.XLOOKUP(B12, ノード!B:B, ノード!A:A, "")</f>
        <v>4</v>
      </c>
      <c r="B12" s="50" t="s">
        <v>125</v>
      </c>
      <c r="C12" s="50" t="n">
        <v>7</v>
      </c>
      <c r="D12" s="50" t="n">
        <f aca="false">INT(D11*2.5)</f>
        <v>2417</v>
      </c>
    </row>
    <row r="13" customFormat="false" ht="12.75" hidden="false" customHeight="false" outlineLevel="0" collapsed="false">
      <c r="A13" s="50" t="n">
        <f aca="false">_xlfn.XLOOKUP(B13, ノード!B:B, ノード!A:A, "")</f>
        <v>4</v>
      </c>
      <c r="B13" s="50" t="s">
        <v>125</v>
      </c>
      <c r="C13" s="50" t="n">
        <v>8</v>
      </c>
      <c r="D13" s="50" t="n">
        <f aca="false">INT(D12*2.5)</f>
        <v>6042</v>
      </c>
    </row>
    <row r="14" customFormat="false" ht="12.75" hidden="false" customHeight="false" outlineLevel="0" collapsed="false">
      <c r="A14" s="50" t="n">
        <f aca="false">_xlfn.XLOOKUP(B14, ノード!B:B, ノード!A:A, "")</f>
        <v>4</v>
      </c>
      <c r="B14" s="50" t="s">
        <v>125</v>
      </c>
      <c r="C14" s="50" t="n">
        <v>9</v>
      </c>
      <c r="D14" s="50" t="n">
        <f aca="false">INT(D13*2.5)</f>
        <v>15105</v>
      </c>
    </row>
    <row r="15" customFormat="false" ht="12.75" hidden="false" customHeight="false" outlineLevel="0" collapsed="false">
      <c r="A15" s="50" t="n">
        <f aca="false">_xlfn.XLOOKUP(B15, ノード!B:B, ノード!A:A, "")</f>
        <v>4</v>
      </c>
      <c r="B15" s="50" t="s">
        <v>125</v>
      </c>
      <c r="C15" s="50" t="n">
        <v>10</v>
      </c>
      <c r="D15" s="50" t="s">
        <v>136</v>
      </c>
    </row>
    <row r="16" customFormat="false" ht="12.75" hidden="false" customHeight="false" outlineLevel="0" collapsed="false">
      <c r="A16" s="50" t="n">
        <f aca="false">_xlfn.XLOOKUP(B16, ノード!B:B, ノード!A:A, "")</f>
        <v>3</v>
      </c>
      <c r="B16" s="50" t="s">
        <v>124</v>
      </c>
      <c r="C16" s="50" t="n">
        <v>1</v>
      </c>
      <c r="D16" s="50" t="n">
        <v>20</v>
      </c>
    </row>
    <row r="17" customFormat="false" ht="12.75" hidden="false" customHeight="false" outlineLevel="0" collapsed="false">
      <c r="A17" s="50" t="n">
        <f aca="false">_xlfn.XLOOKUP(B17, ノード!B:B, ノード!A:A, "")</f>
        <v>3</v>
      </c>
      <c r="B17" s="50" t="s">
        <v>124</v>
      </c>
      <c r="C17" s="50" t="n">
        <v>2</v>
      </c>
      <c r="D17" s="50" t="n">
        <f aca="false">D16*2</f>
        <v>40</v>
      </c>
    </row>
    <row r="18" customFormat="false" ht="12.75" hidden="false" customHeight="false" outlineLevel="0" collapsed="false">
      <c r="A18" s="50" t="n">
        <f aca="false">_xlfn.XLOOKUP(B18, ノード!B:B, ノード!A:A, "")</f>
        <v>3</v>
      </c>
      <c r="B18" s="50" t="s">
        <v>124</v>
      </c>
      <c r="C18" s="50" t="n">
        <v>3</v>
      </c>
      <c r="D18" s="50" t="n">
        <f aca="false">D17*2</f>
        <v>80</v>
      </c>
    </row>
    <row r="19" customFormat="false" ht="12.75" hidden="false" customHeight="false" outlineLevel="0" collapsed="false">
      <c r="A19" s="50" t="n">
        <f aca="false">_xlfn.XLOOKUP(B19, ノード!B:B, ノード!A:A, "")</f>
        <v>3</v>
      </c>
      <c r="B19" s="50" t="s">
        <v>124</v>
      </c>
      <c r="C19" s="50" t="n">
        <v>4</v>
      </c>
      <c r="D19" s="50" t="n">
        <f aca="false">D18*2</f>
        <v>160</v>
      </c>
    </row>
    <row r="20" customFormat="false" ht="12.75" hidden="false" customHeight="false" outlineLevel="0" collapsed="false">
      <c r="A20" s="50" t="n">
        <f aca="false">_xlfn.XLOOKUP(B20, ノード!B:B, ノード!A:A, "")</f>
        <v>3</v>
      </c>
      <c r="B20" s="50" t="s">
        <v>124</v>
      </c>
      <c r="C20" s="50" t="n">
        <v>5</v>
      </c>
      <c r="D20" s="50" t="n">
        <f aca="false">D19*2</f>
        <v>320</v>
      </c>
    </row>
    <row r="21" customFormat="false" ht="12.75" hidden="false" customHeight="false" outlineLevel="0" collapsed="false">
      <c r="A21" s="50" t="n">
        <f aca="false">_xlfn.XLOOKUP(B21, ノード!B:B, ノード!A:A, "")</f>
        <v>3</v>
      </c>
      <c r="B21" s="50" t="s">
        <v>124</v>
      </c>
      <c r="C21" s="50" t="n">
        <v>6</v>
      </c>
      <c r="D21" s="50" t="n">
        <f aca="false">D20*2</f>
        <v>640</v>
      </c>
    </row>
    <row r="22" customFormat="false" ht="12.75" hidden="false" customHeight="false" outlineLevel="0" collapsed="false">
      <c r="A22" s="50" t="n">
        <f aca="false">_xlfn.XLOOKUP(B22, ノード!B:B, ノード!A:A, "")</f>
        <v>3</v>
      </c>
      <c r="B22" s="50" t="s">
        <v>124</v>
      </c>
      <c r="C22" s="50" t="n">
        <v>7</v>
      </c>
      <c r="D22" s="50" t="n">
        <f aca="false">D21*2</f>
        <v>1280</v>
      </c>
    </row>
    <row r="23" customFormat="false" ht="12.75" hidden="false" customHeight="false" outlineLevel="0" collapsed="false">
      <c r="A23" s="50" t="n">
        <f aca="false">_xlfn.XLOOKUP(B23, ノード!B:B, ノード!A:A, "")</f>
        <v>3</v>
      </c>
      <c r="B23" s="50" t="s">
        <v>124</v>
      </c>
      <c r="C23" s="50" t="n">
        <v>8</v>
      </c>
      <c r="D23" s="50" t="n">
        <f aca="false">D22*2</f>
        <v>2560</v>
      </c>
    </row>
    <row r="24" customFormat="false" ht="12.75" hidden="false" customHeight="false" outlineLevel="0" collapsed="false">
      <c r="A24" s="50" t="n">
        <f aca="false">_xlfn.XLOOKUP(B24, ノード!B:B, ノード!A:A, "")</f>
        <v>3</v>
      </c>
      <c r="B24" s="50" t="s">
        <v>124</v>
      </c>
      <c r="C24" s="50" t="n">
        <v>9</v>
      </c>
      <c r="D24" s="50" t="n">
        <f aca="false">D23*2</f>
        <v>5120</v>
      </c>
    </row>
    <row r="25" customFormat="false" ht="12.75" hidden="false" customHeight="false" outlineLevel="0" collapsed="false">
      <c r="A25" s="50" t="n">
        <f aca="false">_xlfn.XLOOKUP(B25, ノード!B:B, ノード!A:A, "")</f>
        <v>3</v>
      </c>
      <c r="B25" s="50" t="s">
        <v>124</v>
      </c>
      <c r="C25" s="50" t="n">
        <v>10</v>
      </c>
      <c r="D25" s="50" t="s">
        <v>136</v>
      </c>
    </row>
    <row r="26" customFormat="false" ht="12.75" hidden="false" customHeight="false" outlineLevel="0" collapsed="false">
      <c r="A26" s="50" t="n">
        <f aca="false">_xlfn.XLOOKUP(B26, ノード!B:B, ノード!A:A, "")</f>
        <v>5</v>
      </c>
      <c r="B26" s="50" t="s">
        <v>126</v>
      </c>
      <c r="C26" s="50" t="n">
        <v>1</v>
      </c>
      <c r="D26" s="50" t="s">
        <v>136</v>
      </c>
    </row>
    <row r="27" customFormat="false" ht="12.75" hidden="false" customHeight="false" outlineLevel="0" collapsed="false">
      <c r="A27" s="50" t="n">
        <f aca="false">_xlfn.XLOOKUP(B27, ノード!B:B, ノード!A:A, "")</f>
        <v>6</v>
      </c>
      <c r="B27" s="50" t="s">
        <v>127</v>
      </c>
      <c r="C27" s="50" t="n">
        <v>1</v>
      </c>
      <c r="D27" s="50" t="n">
        <v>10</v>
      </c>
    </row>
    <row r="28" customFormat="false" ht="12.75" hidden="false" customHeight="false" outlineLevel="0" collapsed="false">
      <c r="A28" s="50" t="n">
        <f aca="false">_xlfn.XLOOKUP(B28, ノード!B:B, ノード!A:A, "")</f>
        <v>6</v>
      </c>
      <c r="B28" s="50" t="s">
        <v>127</v>
      </c>
      <c r="C28" s="50" t="n">
        <v>2</v>
      </c>
      <c r="D28" s="50" t="n">
        <f aca="false">INT(D27*1.5)</f>
        <v>15</v>
      </c>
    </row>
    <row r="29" customFormat="false" ht="12.75" hidden="false" customHeight="false" outlineLevel="0" collapsed="false">
      <c r="A29" s="50" t="n">
        <f aca="false">_xlfn.XLOOKUP(B29, ノード!B:B, ノード!A:A, "")</f>
        <v>6</v>
      </c>
      <c r="B29" s="50" t="s">
        <v>127</v>
      </c>
      <c r="C29" s="50" t="n">
        <v>3</v>
      </c>
      <c r="D29" s="50" t="n">
        <f aca="false">INT(D28*1.5)</f>
        <v>22</v>
      </c>
    </row>
    <row r="30" customFormat="false" ht="12.75" hidden="false" customHeight="false" outlineLevel="0" collapsed="false">
      <c r="A30" s="50" t="n">
        <f aca="false">_xlfn.XLOOKUP(B30, ノード!B:B, ノード!A:A, "")</f>
        <v>6</v>
      </c>
      <c r="B30" s="50" t="s">
        <v>127</v>
      </c>
      <c r="C30" s="50" t="n">
        <v>4</v>
      </c>
      <c r="D30" s="50" t="n">
        <f aca="false">INT(D29*1.5)</f>
        <v>33</v>
      </c>
    </row>
    <row r="31" customFormat="false" ht="12.75" hidden="false" customHeight="false" outlineLevel="0" collapsed="false">
      <c r="A31" s="50" t="n">
        <f aca="false">_xlfn.XLOOKUP(B31, ノード!B:B, ノード!A:A, "")</f>
        <v>6</v>
      </c>
      <c r="B31" s="50" t="s">
        <v>127</v>
      </c>
      <c r="C31" s="50" t="n">
        <v>5</v>
      </c>
      <c r="D31" s="50" t="n">
        <f aca="false">INT(D30*1.5)</f>
        <v>49</v>
      </c>
    </row>
    <row r="32" customFormat="false" ht="12.75" hidden="false" customHeight="false" outlineLevel="0" collapsed="false">
      <c r="A32" s="50" t="n">
        <f aca="false">_xlfn.XLOOKUP(B32, ノード!B:B, ノード!A:A, "")</f>
        <v>6</v>
      </c>
      <c r="B32" s="50" t="s">
        <v>127</v>
      </c>
      <c r="C32" s="50" t="n">
        <v>6</v>
      </c>
      <c r="D32" s="50" t="n">
        <f aca="false">INT(D31*1.5)</f>
        <v>73</v>
      </c>
    </row>
    <row r="33" customFormat="false" ht="12.75" hidden="false" customHeight="false" outlineLevel="0" collapsed="false">
      <c r="A33" s="50" t="n">
        <f aca="false">_xlfn.XLOOKUP(B33, ノード!B:B, ノード!A:A, "")</f>
        <v>6</v>
      </c>
      <c r="B33" s="50" t="s">
        <v>127</v>
      </c>
      <c r="C33" s="50" t="n">
        <v>7</v>
      </c>
      <c r="D33" s="50" t="n">
        <f aca="false">INT(D32*1.5)</f>
        <v>109</v>
      </c>
    </row>
    <row r="34" customFormat="false" ht="12.75" hidden="false" customHeight="false" outlineLevel="0" collapsed="false">
      <c r="A34" s="50" t="n">
        <f aca="false">_xlfn.XLOOKUP(B34, ノード!B:B, ノード!A:A, "")</f>
        <v>6</v>
      </c>
      <c r="B34" s="50" t="s">
        <v>127</v>
      </c>
      <c r="C34" s="50" t="n">
        <v>8</v>
      </c>
      <c r="D34" s="50" t="n">
        <f aca="false">INT(D33*1.5)</f>
        <v>163</v>
      </c>
    </row>
    <row r="35" customFormat="false" ht="12.75" hidden="false" customHeight="false" outlineLevel="0" collapsed="false">
      <c r="A35" s="50" t="n">
        <f aca="false">_xlfn.XLOOKUP(B35, ノード!B:B, ノード!A:A, "")</f>
        <v>6</v>
      </c>
      <c r="B35" s="50" t="s">
        <v>127</v>
      </c>
      <c r="C35" s="50" t="n">
        <v>9</v>
      </c>
      <c r="D35" s="50" t="n">
        <f aca="false">INT(D34*1.5)</f>
        <v>244</v>
      </c>
    </row>
    <row r="36" customFormat="false" ht="12.75" hidden="false" customHeight="false" outlineLevel="0" collapsed="false">
      <c r="A36" s="50" t="n">
        <f aca="false">_xlfn.XLOOKUP(B36, ノード!B:B, ノード!A:A, "")</f>
        <v>6</v>
      </c>
      <c r="B36" s="50" t="s">
        <v>127</v>
      </c>
      <c r="C36" s="50" t="n">
        <v>10</v>
      </c>
      <c r="D36" s="50" t="s">
        <v>136</v>
      </c>
    </row>
    <row r="37" customFormat="false" ht="12.75" hidden="false" customHeight="false" outlineLevel="0" collapsed="false">
      <c r="A37" s="50" t="n">
        <f aca="false">_xlfn.XLOOKUP(B37, ノード!B:B, ノード!A:A, "")</f>
        <v>7</v>
      </c>
      <c r="B37" s="50" t="s">
        <v>128</v>
      </c>
      <c r="C37" s="50" t="n">
        <v>1</v>
      </c>
      <c r="D37" s="50" t="n">
        <v>10</v>
      </c>
    </row>
    <row r="38" customFormat="false" ht="12.75" hidden="false" customHeight="false" outlineLevel="0" collapsed="false">
      <c r="A38" s="50" t="n">
        <f aca="false">_xlfn.XLOOKUP(B38, ノード!B:B, ノード!A:A, "")</f>
        <v>7</v>
      </c>
      <c r="B38" s="50" t="s">
        <v>128</v>
      </c>
      <c r="C38" s="50" t="n">
        <v>2</v>
      </c>
      <c r="D38" s="50" t="n">
        <f aca="false">INT(D37*2)</f>
        <v>20</v>
      </c>
    </row>
    <row r="39" customFormat="false" ht="12.75" hidden="false" customHeight="false" outlineLevel="0" collapsed="false">
      <c r="A39" s="50" t="n">
        <f aca="false">_xlfn.XLOOKUP(B39, ノード!B:B, ノード!A:A, "")</f>
        <v>7</v>
      </c>
      <c r="B39" s="50" t="s">
        <v>128</v>
      </c>
      <c r="C39" s="50" t="n">
        <v>3</v>
      </c>
      <c r="D39" s="50" t="n">
        <f aca="false">INT(D38*2)</f>
        <v>40</v>
      </c>
    </row>
    <row r="40" customFormat="false" ht="12.75" hidden="false" customHeight="false" outlineLevel="0" collapsed="false">
      <c r="A40" s="50" t="n">
        <f aca="false">_xlfn.XLOOKUP(B40, ノード!B:B, ノード!A:A, "")</f>
        <v>7</v>
      </c>
      <c r="B40" s="50" t="s">
        <v>128</v>
      </c>
      <c r="C40" s="50" t="n">
        <v>4</v>
      </c>
      <c r="D40" s="50" t="n">
        <f aca="false">INT(D39*2)</f>
        <v>80</v>
      </c>
    </row>
    <row r="41" customFormat="false" ht="12.75" hidden="false" customHeight="false" outlineLevel="0" collapsed="false">
      <c r="A41" s="50" t="n">
        <f aca="false">_xlfn.XLOOKUP(B41, ノード!B:B, ノード!A:A, "")</f>
        <v>7</v>
      </c>
      <c r="B41" s="50" t="s">
        <v>128</v>
      </c>
      <c r="C41" s="50" t="n">
        <v>5</v>
      </c>
      <c r="D41" s="50" t="n">
        <f aca="false">INT(D40*2)</f>
        <v>160</v>
      </c>
    </row>
    <row r="42" customFormat="false" ht="12.75" hidden="false" customHeight="false" outlineLevel="0" collapsed="false">
      <c r="A42" s="50" t="n">
        <f aca="false">_xlfn.XLOOKUP(B42, ノード!B:B, ノード!A:A, "")</f>
        <v>7</v>
      </c>
      <c r="B42" s="50" t="s">
        <v>128</v>
      </c>
      <c r="C42" s="50" t="n">
        <v>6</v>
      </c>
      <c r="D42" s="50" t="n">
        <f aca="false">INT(D41*2)</f>
        <v>320</v>
      </c>
    </row>
    <row r="43" customFormat="false" ht="12.75" hidden="false" customHeight="false" outlineLevel="0" collapsed="false">
      <c r="A43" s="50" t="n">
        <f aca="false">_xlfn.XLOOKUP(B43, ノード!B:B, ノード!A:A, "")</f>
        <v>7</v>
      </c>
      <c r="B43" s="50" t="s">
        <v>128</v>
      </c>
      <c r="C43" s="50" t="n">
        <v>7</v>
      </c>
      <c r="D43" s="50" t="n">
        <f aca="false">INT(D42*2)</f>
        <v>640</v>
      </c>
    </row>
    <row r="44" customFormat="false" ht="12.75" hidden="false" customHeight="false" outlineLevel="0" collapsed="false">
      <c r="A44" s="50" t="n">
        <f aca="false">_xlfn.XLOOKUP(B44, ノード!B:B, ノード!A:A, "")</f>
        <v>7</v>
      </c>
      <c r="B44" s="50" t="s">
        <v>128</v>
      </c>
      <c r="C44" s="50" t="n">
        <v>8</v>
      </c>
      <c r="D44" s="50" t="n">
        <f aca="false">INT(D43*2)</f>
        <v>1280</v>
      </c>
    </row>
    <row r="45" customFormat="false" ht="12.75" hidden="false" customHeight="false" outlineLevel="0" collapsed="false">
      <c r="A45" s="50" t="n">
        <f aca="false">_xlfn.XLOOKUP(B45, ノード!B:B, ノード!A:A, "")</f>
        <v>7</v>
      </c>
      <c r="B45" s="50" t="s">
        <v>128</v>
      </c>
      <c r="C45" s="50" t="n">
        <v>9</v>
      </c>
      <c r="D45" s="50" t="n">
        <f aca="false">INT(D44*2)</f>
        <v>2560</v>
      </c>
    </row>
    <row r="46" customFormat="false" ht="12.75" hidden="false" customHeight="false" outlineLevel="0" collapsed="false">
      <c r="A46" s="50" t="n">
        <f aca="false">_xlfn.XLOOKUP(B46, ノード!B:B, ノード!A:A, "")</f>
        <v>7</v>
      </c>
      <c r="B46" s="50" t="s">
        <v>128</v>
      </c>
      <c r="C46" s="50" t="n">
        <v>10</v>
      </c>
      <c r="D46" s="50" t="s">
        <v>136</v>
      </c>
    </row>
    <row r="47" customFormat="false" ht="12.75" hidden="false" customHeight="false" outlineLevel="0" collapsed="false">
      <c r="A47" s="50" t="n">
        <f aca="false">_xlfn.XLOOKUP(B47, ノード!B:B, ノード!A:A, "")</f>
        <v>10</v>
      </c>
      <c r="B47" s="50" t="s">
        <v>131</v>
      </c>
      <c r="C47" s="50" t="n">
        <v>1</v>
      </c>
      <c r="D47" s="50" t="n">
        <v>10</v>
      </c>
    </row>
    <row r="48" customFormat="false" ht="12.75" hidden="false" customHeight="false" outlineLevel="0" collapsed="false">
      <c r="A48" s="50" t="n">
        <f aca="false">_xlfn.XLOOKUP(B48, ノード!B:B, ノード!A:A, "")</f>
        <v>10</v>
      </c>
      <c r="B48" s="50" t="s">
        <v>131</v>
      </c>
      <c r="C48" s="50" t="n">
        <v>2</v>
      </c>
      <c r="D48" s="50" t="n">
        <f aca="false">INT(D47*2)</f>
        <v>20</v>
      </c>
    </row>
    <row r="49" customFormat="false" ht="12.75" hidden="false" customHeight="false" outlineLevel="0" collapsed="false">
      <c r="A49" s="50" t="n">
        <f aca="false">_xlfn.XLOOKUP(B49, ノード!B:B, ノード!A:A, "")</f>
        <v>10</v>
      </c>
      <c r="B49" s="50" t="s">
        <v>131</v>
      </c>
      <c r="C49" s="50" t="n">
        <v>3</v>
      </c>
      <c r="D49" s="50" t="n">
        <f aca="false">INT(D48*2)</f>
        <v>40</v>
      </c>
    </row>
    <row r="50" customFormat="false" ht="12.75" hidden="false" customHeight="false" outlineLevel="0" collapsed="false">
      <c r="A50" s="50" t="n">
        <f aca="false">_xlfn.XLOOKUP(B50, ノード!B:B, ノード!A:A, "")</f>
        <v>10</v>
      </c>
      <c r="B50" s="50" t="s">
        <v>131</v>
      </c>
      <c r="C50" s="50" t="n">
        <v>4</v>
      </c>
      <c r="D50" s="50" t="n">
        <f aca="false">INT(D49*2)</f>
        <v>80</v>
      </c>
    </row>
    <row r="51" customFormat="false" ht="12.75" hidden="false" customHeight="false" outlineLevel="0" collapsed="false">
      <c r="A51" s="50" t="n">
        <f aca="false">_xlfn.XLOOKUP(B51, ノード!B:B, ノード!A:A, "")</f>
        <v>10</v>
      </c>
      <c r="B51" s="50" t="s">
        <v>131</v>
      </c>
      <c r="C51" s="50" t="n">
        <v>5</v>
      </c>
      <c r="D51" s="50" t="n">
        <f aca="false">INT(D50*2)</f>
        <v>160</v>
      </c>
    </row>
    <row r="52" customFormat="false" ht="12.75" hidden="false" customHeight="false" outlineLevel="0" collapsed="false">
      <c r="A52" s="50" t="n">
        <f aca="false">_xlfn.XLOOKUP(B52, ノード!B:B, ノード!A:A, "")</f>
        <v>10</v>
      </c>
      <c r="B52" s="50" t="s">
        <v>131</v>
      </c>
      <c r="C52" s="50" t="n">
        <v>6</v>
      </c>
      <c r="D52" s="50" t="n">
        <f aca="false">INT(D51*2)</f>
        <v>320</v>
      </c>
    </row>
    <row r="53" customFormat="false" ht="12.75" hidden="false" customHeight="false" outlineLevel="0" collapsed="false">
      <c r="A53" s="50" t="n">
        <f aca="false">_xlfn.XLOOKUP(B53, ノード!B:B, ノード!A:A, "")</f>
        <v>10</v>
      </c>
      <c r="B53" s="50" t="s">
        <v>131</v>
      </c>
      <c r="C53" s="50" t="n">
        <v>7</v>
      </c>
      <c r="D53" s="50" t="n">
        <f aca="false">INT(D52*2)</f>
        <v>640</v>
      </c>
    </row>
    <row r="54" customFormat="false" ht="12.75" hidden="false" customHeight="false" outlineLevel="0" collapsed="false">
      <c r="A54" s="50" t="n">
        <f aca="false">_xlfn.XLOOKUP(B54, ノード!B:B, ノード!A:A, "")</f>
        <v>10</v>
      </c>
      <c r="B54" s="50" t="s">
        <v>131</v>
      </c>
      <c r="C54" s="50" t="n">
        <v>8</v>
      </c>
      <c r="D54" s="50" t="n">
        <f aca="false">INT(D53*2)</f>
        <v>1280</v>
      </c>
    </row>
    <row r="55" customFormat="false" ht="12.75" hidden="false" customHeight="false" outlineLevel="0" collapsed="false">
      <c r="A55" s="50" t="n">
        <f aca="false">_xlfn.XLOOKUP(B55, ノード!B:B, ノード!A:A, "")</f>
        <v>10</v>
      </c>
      <c r="B55" s="50" t="s">
        <v>131</v>
      </c>
      <c r="C55" s="50" t="n">
        <v>9</v>
      </c>
      <c r="D55" s="50" t="n">
        <f aca="false">INT(D54*2)</f>
        <v>2560</v>
      </c>
    </row>
    <row r="56" customFormat="false" ht="12.75" hidden="false" customHeight="false" outlineLevel="0" collapsed="false">
      <c r="A56" s="50" t="n">
        <f aca="false">_xlfn.XLOOKUP(B56, ノード!B:B, ノード!A:A, "")</f>
        <v>10</v>
      </c>
      <c r="B56" s="50" t="s">
        <v>131</v>
      </c>
      <c r="C56" s="50" t="n">
        <v>10</v>
      </c>
      <c r="D56" s="50" t="s">
        <v>136</v>
      </c>
    </row>
    <row r="57" customFormat="false" ht="12.75" hidden="false" customHeight="false" outlineLevel="0" collapsed="false">
      <c r="A57" s="46" t="s">
        <v>113</v>
      </c>
      <c r="B57" s="46"/>
      <c r="C57" s="46"/>
      <c r="D57" s="46"/>
    </row>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row r="62" customFormat="false" ht="13.8" hidden="false" customHeight="false" outlineLevel="0" collapsed="false">
      <c r="A62" s="59" t="s">
        <v>114</v>
      </c>
    </row>
    <row r="63" customFormat="false" ht="13.8" hidden="false" customHeight="false" outlineLevel="0" collapsed="false">
      <c r="A63" s="44" t="s">
        <v>137</v>
      </c>
    </row>
  </sheetData>
  <dataValidations count="1">
    <dataValidation allowBlank="true" errorStyle="stop" operator="between" showDropDown="false" showErrorMessage="true" showInputMessage="true" sqref="B6:B56"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0" activeCellId="0" sqref="I10"/>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95</v>
      </c>
      <c r="B4" s="60" t="s">
        <v>96</v>
      </c>
      <c r="C4" s="47" t="s">
        <v>138</v>
      </c>
      <c r="D4" s="47" t="s">
        <v>139</v>
      </c>
      <c r="E4" s="48" t="s">
        <v>140</v>
      </c>
      <c r="F4" s="48" t="s">
        <v>141</v>
      </c>
      <c r="G4" s="48" t="s">
        <v>142</v>
      </c>
      <c r="H4" s="48" t="s">
        <v>143</v>
      </c>
      <c r="I4" s="48" t="s">
        <v>144</v>
      </c>
      <c r="J4" s="48" t="s">
        <v>145</v>
      </c>
      <c r="K4" s="48" t="s">
        <v>146</v>
      </c>
      <c r="L4" s="48" t="s">
        <v>147</v>
      </c>
      <c r="M4" s="48" t="s">
        <v>148</v>
      </c>
      <c r="N4" s="48" t="s">
        <v>149</v>
      </c>
      <c r="O4" s="61" t="s">
        <v>150</v>
      </c>
      <c r="P4" s="61" t="s">
        <v>151</v>
      </c>
      <c r="Q4" s="61" t="s">
        <v>152</v>
      </c>
      <c r="R4" s="61" t="s">
        <v>153</v>
      </c>
    </row>
    <row r="5" customFormat="false" ht="13.8" hidden="false" customHeight="false" outlineLevel="0" collapsed="false">
      <c r="A5" s="49" t="s">
        <v>101</v>
      </c>
      <c r="B5" s="49" t="s">
        <v>102</v>
      </c>
      <c r="C5" s="49" t="s">
        <v>134</v>
      </c>
      <c r="D5" s="49" t="s">
        <v>154</v>
      </c>
      <c r="E5" s="49"/>
      <c r="F5" s="49"/>
      <c r="G5" s="49"/>
      <c r="H5" s="49"/>
      <c r="I5" s="49"/>
      <c r="J5" s="49"/>
      <c r="K5" s="49"/>
      <c r="L5" s="49"/>
      <c r="M5" s="49"/>
      <c r="N5" s="49"/>
      <c r="O5" s="62" t="s">
        <v>155</v>
      </c>
      <c r="P5" s="62" t="s">
        <v>156</v>
      </c>
      <c r="Q5" s="62" t="s">
        <v>157</v>
      </c>
      <c r="R5" s="62" t="s">
        <v>158</v>
      </c>
    </row>
    <row r="6" customFormat="false" ht="13.8" hidden="false" customHeight="false" outlineLevel="0" collapsed="false">
      <c r="A6" s="50" t="n">
        <f aca="false">_xlfn.XLOOKUP(B6, ノード!B:B, ノード!A:A, "")</f>
        <v>1</v>
      </c>
      <c r="B6" s="50" t="s">
        <v>122</v>
      </c>
      <c r="C6" s="50" t="n">
        <v>0</v>
      </c>
      <c r="D6" s="50" t="n">
        <v>1000</v>
      </c>
      <c r="E6" s="50"/>
      <c r="F6" s="50"/>
      <c r="G6" s="50"/>
      <c r="H6" s="50"/>
      <c r="I6" s="50"/>
      <c r="J6" s="50"/>
      <c r="K6" s="50"/>
      <c r="L6" s="50"/>
      <c r="M6" s="50" t="s">
        <v>107</v>
      </c>
      <c r="N6" s="50" t="n">
        <v>10</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[10]</v>
      </c>
      <c r="S6" s="45" t="str">
        <f aca="false">IFERROR(N6/(F6+H6+J6+L6),"-")</f>
        <v>-</v>
      </c>
    </row>
    <row r="7" customFormat="false" ht="13.8" hidden="false" customHeight="false" outlineLevel="0" collapsed="false">
      <c r="A7" s="50" t="n">
        <f aca="false">_xlfn.XLOOKUP(B7, ノード!B:B, ノード!A:A, "")</f>
        <v>2</v>
      </c>
      <c r="B7" s="50" t="s">
        <v>123</v>
      </c>
      <c r="C7" s="50" t="n">
        <v>0</v>
      </c>
      <c r="D7" s="50" t="n">
        <v>1000</v>
      </c>
      <c r="E7" s="50"/>
      <c r="F7" s="50"/>
      <c r="G7" s="50"/>
      <c r="H7" s="50"/>
      <c r="I7" s="50"/>
      <c r="J7" s="50"/>
      <c r="K7" s="50"/>
      <c r="L7" s="50"/>
      <c r="M7" s="50" t="s">
        <v>108</v>
      </c>
      <c r="N7" s="50" t="n">
        <v>10</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[10]</v>
      </c>
      <c r="S7" s="45" t="str">
        <f aca="false">IFERROR(N7/(F7+H7+J7+L7),"-")</f>
        <v>-</v>
      </c>
    </row>
    <row r="8" customFormat="false" ht="13.8" hidden="false" customHeight="false" outlineLevel="0" collapsed="false">
      <c r="A8" s="50" t="n">
        <f aca="false">_xlfn.XLOOKUP(B8, ノード!B:B, ノード!A:A, "")</f>
        <v>3</v>
      </c>
      <c r="B8" s="50" t="s">
        <v>124</v>
      </c>
      <c r="C8" s="50" t="n">
        <v>1</v>
      </c>
      <c r="D8" s="50" t="n">
        <v>1000</v>
      </c>
      <c r="E8" s="50" t="s">
        <v>107</v>
      </c>
      <c r="F8" s="50" t="n">
        <v>2</v>
      </c>
      <c r="G8" s="50"/>
      <c r="H8" s="50"/>
      <c r="I8" s="50"/>
      <c r="J8" s="50"/>
      <c r="K8" s="50"/>
      <c r="L8" s="50"/>
      <c r="M8" s="50" t="s">
        <v>109</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124</v>
      </c>
      <c r="C9" s="50" t="n">
        <v>2</v>
      </c>
      <c r="D9" s="50" t="n">
        <v>2000</v>
      </c>
      <c r="E9" s="50" t="s">
        <v>107</v>
      </c>
      <c r="F9" s="50" t="n">
        <v>4</v>
      </c>
      <c r="G9" s="50"/>
      <c r="H9" s="50"/>
      <c r="I9" s="50"/>
      <c r="J9" s="50"/>
      <c r="K9" s="50"/>
      <c r="L9" s="50"/>
      <c r="M9" s="50" t="s">
        <v>109</v>
      </c>
      <c r="N9" s="50" t="n">
        <v>10</v>
      </c>
      <c r="O9" s="63" t="str">
        <f aca="false">"[" &amp; _xlfn.TEXTJOIN(",", 1,   IFERROR(INDEX(素材!A:A, MATCH(E9, 素材!B:B, 0)), ""),   IFERROR(INDEX(素材!A:A, MATCH(G9, 素材!B:B, 0)), ""),   IFERROR(INDEX(素材!A:A, MATCH(I9, 素材!B:B, 0)), ""),   IFERROR(INDEX(素材!A:A, MATCH(K9, 素材!B:B, 0)), "") ) &amp; "]"</f>
        <v>[2]</v>
      </c>
      <c r="P9" s="63" t="str">
        <f aca="false">"[" &amp; _xlfn.TEXTJOIN(",", 1,   IF(ISNUMBER(MATCH(E9, 素材!B:B, 0)), F9, ""),   IF(ISNUMBER(MATCH(G9, 素材!B:B, 0)), H9, ""),   IF(ISNUMBER(MATCH(I9, 素材!B:B, 0)), J9, ""),   IF(ISNUMBER(MATCH(K9, 素材!B:B, 0)), L9, "") ) &amp; "]"</f>
        <v>[4]</v>
      </c>
      <c r="Q9" s="63" t="str">
        <f aca="false">"[" &amp; _xlfn.TEXTJOIN(",", 1,   IFERROR(INDEX(素材!A:A, MATCH(M9, 素材!B:B, 0)), "") ) &amp; "]"</f>
        <v>[4]</v>
      </c>
      <c r="R9" s="64" t="str">
        <f aca="false">"[" &amp; _xlfn.TEXTJOIN(",", 1, IF(ISNUMBER(MATCH(M9, 素材!B:B, 0)), N9, "") ) &amp; "]"</f>
        <v>[10]</v>
      </c>
      <c r="S9" s="45" t="n">
        <f aca="false">IFERROR(N9/(F9+H9+J9+L9),"-")</f>
        <v>2.5</v>
      </c>
    </row>
    <row r="10" customFormat="false" ht="13.8" hidden="false" customHeight="false" outlineLevel="0" collapsed="false">
      <c r="A10" s="50" t="n">
        <f aca="false">_xlfn.XLOOKUP(B10, ノード!B:B, ノード!A:A, "")</f>
        <v>3</v>
      </c>
      <c r="B10" s="50" t="s">
        <v>124</v>
      </c>
      <c r="C10" s="50" t="n">
        <v>3</v>
      </c>
      <c r="D10" s="50" t="n">
        <v>3000</v>
      </c>
      <c r="E10" s="50" t="s">
        <v>107</v>
      </c>
      <c r="F10" s="50" t="n">
        <v>6</v>
      </c>
      <c r="G10" s="50" t="s">
        <v>110</v>
      </c>
      <c r="H10" s="50" t="n">
        <v>1</v>
      </c>
      <c r="I10" s="50"/>
      <c r="J10" s="50"/>
      <c r="K10" s="50"/>
      <c r="L10" s="50"/>
      <c r="M10" s="50" t="s">
        <v>109</v>
      </c>
      <c r="N10" s="50" t="n">
        <v>20</v>
      </c>
      <c r="O10" s="63" t="str">
        <f aca="false">"[" &amp; _xlfn.TEXTJOIN(",", 1,   IFERROR(INDEX(素材!A:A, MATCH(E10, 素材!B:B, 0)), ""),   IFERROR(INDEX(素材!A:A, MATCH(G10, 素材!B:B, 0)), ""),   IFERROR(INDEX(素材!A:A, MATCH(I10, 素材!B:B, 0)), ""),   IFERROR(INDEX(素材!A:A, MATCH(K10, 素材!B:B, 0)), "") ) &amp; "]"</f>
        <v>[2,5]</v>
      </c>
      <c r="P10" s="63" t="str">
        <f aca="false">"[" &amp; _xlfn.TEXTJOIN(",", 1,   IF(ISNUMBER(MATCH(E10, 素材!B:B, 0)), F10, ""),   IF(ISNUMBER(MATCH(G10, 素材!B:B, 0)), H10, ""),   IF(ISNUMBER(MATCH(I10, 素材!B:B, 0)), J10, ""),   IF(ISNUMBER(MATCH(K10, 素材!B:B, 0)), L10, "") ) &amp; "]"</f>
        <v>[6,1]</v>
      </c>
      <c r="Q10" s="63" t="str">
        <f aca="false">"[" &amp; _xlfn.TEXTJOIN(",", 1,   IFERROR(INDEX(素材!A:A, MATCH(M10, 素材!B:B, 0)), "") ) &amp; "]"</f>
        <v>[4]</v>
      </c>
      <c r="R10" s="64" t="str">
        <f aca="false">"[" &amp; _xlfn.TEXTJOIN(",", 1, IF(ISNUMBER(MATCH(M10, 素材!B:B, 0)), N10, "") ) &amp; "]"</f>
        <v>[20]</v>
      </c>
      <c r="S10" s="45" t="n">
        <f aca="false">IFERROR(N10/(F10+H10+J10+L10),"-")</f>
        <v>2.85714285714286</v>
      </c>
    </row>
    <row r="11" customFormat="false" ht="13.8" hidden="false" customHeight="false" outlineLevel="0" collapsed="false">
      <c r="A11" s="50" t="n">
        <f aca="false">_xlfn.XLOOKUP(B11, ノード!B:B, ノード!A:A, "")</f>
        <v>3</v>
      </c>
      <c r="B11" s="50" t="s">
        <v>124</v>
      </c>
      <c r="C11" s="50" t="n">
        <v>4</v>
      </c>
      <c r="D11" s="50" t="n">
        <v>4000</v>
      </c>
      <c r="E11" s="50" t="s">
        <v>107</v>
      </c>
      <c r="F11" s="50" t="n">
        <v>8</v>
      </c>
      <c r="G11" s="50" t="s">
        <v>110</v>
      </c>
      <c r="H11" s="50" t="n">
        <v>3</v>
      </c>
      <c r="I11" s="50" t="s">
        <v>111</v>
      </c>
      <c r="J11" s="50" t="n">
        <v>1</v>
      </c>
      <c r="K11" s="50"/>
      <c r="L11" s="50"/>
      <c r="M11" s="50" t="s">
        <v>109</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[8,3,1]</v>
      </c>
      <c r="Q11" s="63" t="str">
        <f aca="false">"[" &amp; _xlfn.TEXTJOIN(",", 1,   IFERROR(INDEX(素材!A:A, MATCH(M11, 素材!B:B, 0)), "") ) &amp; "]"</f>
        <v>[4]</v>
      </c>
      <c r="R11" s="64" t="str">
        <f aca="false">"[" &amp; _xlfn.TEXTJOIN(",", 1, IF(ISNUMBER(MATCH(M11, 素材!B:B, 0)), N11, "") ) &amp; "]"</f>
        <v>[30]</v>
      </c>
      <c r="S11" s="45" t="n">
        <f aca="false">IFERROR(N11/(F11+H11+J11+L11),"-")</f>
        <v>2.5</v>
      </c>
    </row>
    <row r="12" customFormat="false" ht="13.8" hidden="false" customHeight="false" outlineLevel="0" collapsed="false">
      <c r="A12" s="50" t="n">
        <f aca="false">_xlfn.XLOOKUP(B12, ノード!B:B, ノード!A:A, "")</f>
        <v>3</v>
      </c>
      <c r="B12" s="50" t="s">
        <v>124</v>
      </c>
      <c r="C12" s="50" t="n">
        <v>5</v>
      </c>
      <c r="D12" s="50" t="n">
        <v>5000</v>
      </c>
      <c r="E12" s="50" t="s">
        <v>107</v>
      </c>
      <c r="F12" s="50" t="n">
        <v>10</v>
      </c>
      <c r="G12" s="50" t="s">
        <v>110</v>
      </c>
      <c r="H12" s="50" t="n">
        <v>4</v>
      </c>
      <c r="I12" s="50" t="s">
        <v>111</v>
      </c>
      <c r="J12" s="50" t="n">
        <v>2</v>
      </c>
      <c r="K12" s="50"/>
      <c r="L12" s="50"/>
      <c r="M12" s="50" t="s">
        <v>109</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[10,4,2]</v>
      </c>
      <c r="Q12" s="63" t="str">
        <f aca="false">"[" &amp; _xlfn.TEXTJOIN(",", 1,   IFERROR(INDEX(素材!A:A, MATCH(M12, 素材!B:B, 0)), "") ) &amp; "]"</f>
        <v>[4]</v>
      </c>
      <c r="R12" s="64" t="str">
        <f aca="false">"[" &amp; _xlfn.TEXTJOIN(",", 1, IF(ISNUMBER(MATCH(M12, 素材!B:B, 0)), N12, "") ) &amp; "]"</f>
        <v>[55]</v>
      </c>
      <c r="S12" s="45" t="n">
        <f aca="false">IFERROR(N12/(F12+H12+J12+L12),"-")</f>
        <v>3.4375</v>
      </c>
    </row>
    <row r="13" customFormat="false" ht="13.8" hidden="false" customHeight="false" outlineLevel="0" collapsed="false">
      <c r="A13" s="50" t="n">
        <f aca="false">_xlfn.XLOOKUP(B13, ノード!B:B, ノード!A:A, "")</f>
        <v>3</v>
      </c>
      <c r="B13" s="50" t="s">
        <v>124</v>
      </c>
      <c r="C13" s="50" t="n">
        <v>6</v>
      </c>
      <c r="D13" s="50" t="n">
        <v>6000</v>
      </c>
      <c r="E13" s="50" t="s">
        <v>107</v>
      </c>
      <c r="F13" s="50" t="n">
        <v>12</v>
      </c>
      <c r="G13" s="50" t="s">
        <v>110</v>
      </c>
      <c r="H13" s="50" t="n">
        <v>5</v>
      </c>
      <c r="I13" s="50" t="s">
        <v>111</v>
      </c>
      <c r="J13" s="50" t="n">
        <v>4</v>
      </c>
      <c r="K13" s="50"/>
      <c r="L13" s="50"/>
      <c r="M13" s="50" t="s">
        <v>109</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[12,5,4]</v>
      </c>
      <c r="Q13" s="63" t="str">
        <f aca="false">"[" &amp; _xlfn.TEXTJOIN(",", 1,   IFERROR(INDEX(素材!A:A, MATCH(M13, 素材!B:B, 0)), "") ) &amp; "]"</f>
        <v>[4]</v>
      </c>
      <c r="R13" s="64" t="str">
        <f aca="false">"[" &amp; _xlfn.TEXTJOIN(",", 1, IF(ISNUMBER(MATCH(M13, 素材!B:B, 0)), N13, "") ) &amp; "]"</f>
        <v>[75]</v>
      </c>
      <c r="S13" s="45" t="n">
        <f aca="false">IFERROR(N13/(F13+H13+J13+L13),"-")</f>
        <v>3.57142857142857</v>
      </c>
    </row>
    <row r="14" customFormat="false" ht="13.8" hidden="false" customHeight="false" outlineLevel="0" collapsed="false">
      <c r="A14" s="50" t="n">
        <f aca="false">_xlfn.XLOOKUP(B14, ノード!B:B, ノード!A:A, "")</f>
        <v>3</v>
      </c>
      <c r="B14" s="50" t="s">
        <v>124</v>
      </c>
      <c r="C14" s="50" t="n">
        <v>7</v>
      </c>
      <c r="D14" s="50" t="n">
        <v>7000</v>
      </c>
      <c r="E14" s="50" t="s">
        <v>107</v>
      </c>
      <c r="F14" s="50" t="n">
        <v>14</v>
      </c>
      <c r="G14" s="50" t="s">
        <v>110</v>
      </c>
      <c r="H14" s="50" t="n">
        <v>6</v>
      </c>
      <c r="I14" s="50" t="s">
        <v>111</v>
      </c>
      <c r="J14" s="50" t="n">
        <v>7</v>
      </c>
      <c r="K14" s="50"/>
      <c r="L14" s="50"/>
      <c r="M14" s="50" t="s">
        <v>109</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[14,6,7]</v>
      </c>
      <c r="Q14" s="63" t="str">
        <f aca="false">"[" &amp; _xlfn.TEXTJOIN(",", 1,   IFERROR(INDEX(素材!A:A, MATCH(M14, 素材!B:B, 0)), "") ) &amp; "]"</f>
        <v>[4]</v>
      </c>
      <c r="R14" s="64" t="str">
        <f aca="false">"[" &amp; _xlfn.TEXTJOIN(",", 1, IF(ISNUMBER(MATCH(M14, 素材!B:B, 0)), N14, "") ) &amp; "]"</f>
        <v>[100]</v>
      </c>
      <c r="S14" s="45" t="n">
        <f aca="false">IFERROR(N14/(F14+H14+J14+L14),"-")</f>
        <v>3.7037037037037</v>
      </c>
    </row>
    <row r="15" customFormat="false" ht="13.8" hidden="false" customHeight="false" outlineLevel="0" collapsed="false">
      <c r="A15" s="50" t="n">
        <f aca="false">_xlfn.XLOOKUP(B15, ノード!B:B, ノード!A:A, "")</f>
        <v>3</v>
      </c>
      <c r="B15" s="50" t="s">
        <v>124</v>
      </c>
      <c r="C15" s="50" t="n">
        <v>8</v>
      </c>
      <c r="D15" s="50" t="n">
        <v>8000</v>
      </c>
      <c r="E15" s="50" t="s">
        <v>107</v>
      </c>
      <c r="F15" s="50" t="n">
        <v>16</v>
      </c>
      <c r="G15" s="50" t="s">
        <v>110</v>
      </c>
      <c r="H15" s="50" t="n">
        <v>7</v>
      </c>
      <c r="I15" s="50" t="s">
        <v>111</v>
      </c>
      <c r="J15" s="50" t="n">
        <v>11</v>
      </c>
      <c r="K15" s="50"/>
      <c r="L15" s="50"/>
      <c r="M15" s="50" t="s">
        <v>109</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[16,7,11]</v>
      </c>
      <c r="Q15" s="63" t="str">
        <f aca="false">"[" &amp; _xlfn.TEXTJOIN(",", 1,   IFERROR(INDEX(素材!A:A, MATCH(M15, 素材!B:B, 0)), "") ) &amp; "]"</f>
        <v>[4]</v>
      </c>
      <c r="R15" s="64" t="str">
        <f aca="false">"[" &amp; _xlfn.TEXTJOIN(",", 1, IF(ISNUMBER(MATCH(M15, 素材!B:B, 0)), N15, "") ) &amp; "]"</f>
        <v>[130]</v>
      </c>
      <c r="S15" s="45" t="n">
        <f aca="false">IFERROR(N15/(F15+H15+J15+L15),"-")</f>
        <v>3.82352941176471</v>
      </c>
    </row>
    <row r="16" customFormat="false" ht="13.8" hidden="false" customHeight="false" outlineLevel="0" collapsed="false">
      <c r="A16" s="50" t="n">
        <f aca="false">_xlfn.XLOOKUP(B16, ノード!B:B, ノード!A:A, "")</f>
        <v>3</v>
      </c>
      <c r="B16" s="50" t="s">
        <v>124</v>
      </c>
      <c r="C16" s="50" t="n">
        <v>9</v>
      </c>
      <c r="D16" s="50" t="n">
        <v>9000</v>
      </c>
      <c r="E16" s="50" t="s">
        <v>107</v>
      </c>
      <c r="F16" s="50" t="n">
        <v>18</v>
      </c>
      <c r="G16" s="50" t="s">
        <v>110</v>
      </c>
      <c r="H16" s="50" t="n">
        <v>8</v>
      </c>
      <c r="I16" s="50" t="s">
        <v>111</v>
      </c>
      <c r="J16" s="50" t="n">
        <v>16</v>
      </c>
      <c r="K16" s="50"/>
      <c r="L16" s="50"/>
      <c r="M16" s="50" t="s">
        <v>109</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[18,8,16]</v>
      </c>
      <c r="Q16" s="63" t="str">
        <f aca="false">"[" &amp; _xlfn.TEXTJOIN(",", 1,   IFERROR(INDEX(素材!A:A, MATCH(M16, 素材!B:B, 0)), "") ) &amp; "]"</f>
        <v>[4]</v>
      </c>
      <c r="R16" s="64" t="str">
        <f aca="false">"[" &amp; _xlfn.TEXTJOIN(",", 1, IF(ISNUMBER(MATCH(M16, 素材!B:B, 0)), N16, "") ) &amp; "]"</f>
        <v>[160]</v>
      </c>
      <c r="S16" s="45" t="n">
        <f aca="false">IFERROR(N16/(F16+H16+J16+L16),"-")</f>
        <v>3.80952380952381</v>
      </c>
    </row>
    <row r="17" customFormat="false" ht="13.8" hidden="false" customHeight="false" outlineLevel="0" collapsed="false">
      <c r="A17" s="50" t="n">
        <f aca="false">_xlfn.XLOOKUP(B17, ノード!B:B, ノード!A:A, "")</f>
        <v>3</v>
      </c>
      <c r="B17" s="50" t="s">
        <v>124</v>
      </c>
      <c r="C17" s="50" t="n">
        <v>10</v>
      </c>
      <c r="D17" s="50" t="n">
        <v>10000</v>
      </c>
      <c r="E17" s="50" t="s">
        <v>107</v>
      </c>
      <c r="F17" s="50" t="n">
        <v>20</v>
      </c>
      <c r="G17" s="50" t="s">
        <v>110</v>
      </c>
      <c r="H17" s="50" t="n">
        <v>9</v>
      </c>
      <c r="I17" s="50" t="s">
        <v>111</v>
      </c>
      <c r="J17" s="50" t="n">
        <v>22</v>
      </c>
      <c r="K17" s="50"/>
      <c r="L17" s="50"/>
      <c r="M17" s="50" t="s">
        <v>109</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[20,9,22]</v>
      </c>
      <c r="Q17" s="63" t="str">
        <f aca="false">"[" &amp; _xlfn.TEXTJOIN(",", 1,   IFERROR(INDEX(素材!A:A, MATCH(M17, 素材!B:B, 0)), "") ) &amp; "]"</f>
        <v>[4]</v>
      </c>
      <c r="R17" s="64" t="str">
        <f aca="false">"[" &amp; _xlfn.TEXTJOIN(",", 1, IF(ISNUMBER(MATCH(M17, 素材!B:B, 0)), N17, "") ) &amp; "]"</f>
        <v>[200]</v>
      </c>
      <c r="S17" s="45" t="n">
        <f aca="false">IFERROR(N17/(F17+H17+J17+L17),"-")</f>
        <v>3.92156862745098</v>
      </c>
    </row>
    <row r="18" customFormat="false" ht="13.8" hidden="false" customHeight="false" outlineLevel="0" collapsed="false">
      <c r="A18" s="50" t="n">
        <f aca="false">_xlfn.XLOOKUP(B18, ノード!B:B, ノード!A:A, "")</f>
        <v>4</v>
      </c>
      <c r="B18" s="50" t="s">
        <v>125</v>
      </c>
      <c r="C18" s="50" t="n">
        <v>0</v>
      </c>
      <c r="D18" s="50" t="n">
        <v>0</v>
      </c>
      <c r="E18" s="50" t="s">
        <v>107</v>
      </c>
      <c r="F18" s="50" t="n">
        <v>2</v>
      </c>
      <c r="G18" s="50" t="s">
        <v>108</v>
      </c>
      <c r="H18" s="50" t="n">
        <v>2</v>
      </c>
      <c r="I18" s="50" t="s">
        <v>109</v>
      </c>
      <c r="J18" s="50" t="n">
        <v>1</v>
      </c>
      <c r="K18" s="50"/>
      <c r="L18" s="50"/>
      <c r="M18" s="50" t="s">
        <v>110</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125</v>
      </c>
      <c r="C19" s="50" t="n">
        <v>1</v>
      </c>
      <c r="D19" s="50" t="n">
        <v>1000</v>
      </c>
      <c r="E19" s="50" t="s">
        <v>107</v>
      </c>
      <c r="F19" s="50" t="n">
        <v>2</v>
      </c>
      <c r="G19" s="50" t="s">
        <v>108</v>
      </c>
      <c r="H19" s="50" t="n">
        <v>2</v>
      </c>
      <c r="I19" s="50" t="s">
        <v>109</v>
      </c>
      <c r="J19" s="50" t="n">
        <v>1</v>
      </c>
      <c r="K19" s="50"/>
      <c r="L19" s="50"/>
      <c r="M19" s="50" t="s">
        <v>110</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125</v>
      </c>
      <c r="C20" s="50" t="n">
        <v>2</v>
      </c>
      <c r="D20" s="50" t="n">
        <v>2000</v>
      </c>
      <c r="E20" s="50" t="s">
        <v>107</v>
      </c>
      <c r="F20" s="50" t="n">
        <v>3</v>
      </c>
      <c r="G20" s="50" t="s">
        <v>108</v>
      </c>
      <c r="H20" s="50" t="n">
        <v>3</v>
      </c>
      <c r="I20" s="50" t="s">
        <v>109</v>
      </c>
      <c r="J20" s="50" t="n">
        <v>2</v>
      </c>
      <c r="K20" s="50"/>
      <c r="L20" s="50"/>
      <c r="M20" s="50" t="s">
        <v>110</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125</v>
      </c>
      <c r="C21" s="50" t="n">
        <v>3</v>
      </c>
      <c r="D21" s="50" t="n">
        <v>3000</v>
      </c>
      <c r="E21" s="50" t="s">
        <v>107</v>
      </c>
      <c r="F21" s="50" t="n">
        <v>5</v>
      </c>
      <c r="G21" s="50" t="s">
        <v>108</v>
      </c>
      <c r="H21" s="50" t="n">
        <v>5</v>
      </c>
      <c r="I21" s="50" t="s">
        <v>109</v>
      </c>
      <c r="J21" s="50" t="n">
        <v>4</v>
      </c>
      <c r="K21" s="50"/>
      <c r="L21" s="50"/>
      <c r="M21" s="50" t="s">
        <v>110</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125</v>
      </c>
      <c r="C22" s="50" t="n">
        <v>4</v>
      </c>
      <c r="D22" s="50" t="n">
        <v>4000</v>
      </c>
      <c r="E22" s="50" t="s">
        <v>107</v>
      </c>
      <c r="F22" s="50" t="n">
        <v>8</v>
      </c>
      <c r="G22" s="50" t="s">
        <v>108</v>
      </c>
      <c r="H22" s="50" t="n">
        <v>8</v>
      </c>
      <c r="I22" s="50" t="s">
        <v>109</v>
      </c>
      <c r="J22" s="50" t="n">
        <v>7</v>
      </c>
      <c r="K22" s="50" t="s">
        <v>112</v>
      </c>
      <c r="L22" s="50" t="n">
        <v>4</v>
      </c>
      <c r="M22" s="50" t="s">
        <v>110</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125</v>
      </c>
      <c r="C23" s="50" t="n">
        <v>5</v>
      </c>
      <c r="D23" s="50" t="n">
        <v>5000</v>
      </c>
      <c r="E23" s="50" t="s">
        <v>107</v>
      </c>
      <c r="F23" s="50" t="n">
        <v>13</v>
      </c>
      <c r="G23" s="50" t="s">
        <v>108</v>
      </c>
      <c r="H23" s="50" t="n">
        <v>13</v>
      </c>
      <c r="I23" s="50" t="s">
        <v>109</v>
      </c>
      <c r="J23" s="50" t="n">
        <v>13</v>
      </c>
      <c r="K23" s="50" t="s">
        <v>112</v>
      </c>
      <c r="L23" s="50" t="n">
        <v>8</v>
      </c>
      <c r="M23" s="50" t="s">
        <v>110</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125</v>
      </c>
      <c r="C24" s="50" t="n">
        <v>6</v>
      </c>
      <c r="D24" s="50" t="n">
        <v>6000</v>
      </c>
      <c r="E24" s="50" t="s">
        <v>107</v>
      </c>
      <c r="F24" s="50" t="n">
        <v>20</v>
      </c>
      <c r="G24" s="50" t="s">
        <v>108</v>
      </c>
      <c r="H24" s="50" t="n">
        <v>20</v>
      </c>
      <c r="I24" s="50" t="s">
        <v>109</v>
      </c>
      <c r="J24" s="50" t="n">
        <v>20</v>
      </c>
      <c r="K24" s="50" t="s">
        <v>112</v>
      </c>
      <c r="L24" s="50" t="n">
        <v>12</v>
      </c>
      <c r="M24" s="50" t="s">
        <v>110</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125</v>
      </c>
      <c r="C25" s="50" t="n">
        <v>7</v>
      </c>
      <c r="D25" s="50" t="n">
        <v>7000</v>
      </c>
      <c r="E25" s="50" t="s">
        <v>107</v>
      </c>
      <c r="F25" s="50" t="n">
        <v>29</v>
      </c>
      <c r="G25" s="50" t="s">
        <v>108</v>
      </c>
      <c r="H25" s="50" t="n">
        <v>29</v>
      </c>
      <c r="I25" s="50" t="s">
        <v>109</v>
      </c>
      <c r="J25" s="50" t="n">
        <v>40</v>
      </c>
      <c r="K25" s="50" t="s">
        <v>112</v>
      </c>
      <c r="L25" s="50" t="n">
        <v>17</v>
      </c>
      <c r="M25" s="50" t="s">
        <v>110</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125</v>
      </c>
      <c r="C26" s="50" t="n">
        <v>8</v>
      </c>
      <c r="D26" s="50" t="n">
        <v>8000</v>
      </c>
      <c r="E26" s="50" t="s">
        <v>107</v>
      </c>
      <c r="F26" s="50" t="n">
        <v>40</v>
      </c>
      <c r="G26" s="50" t="s">
        <v>108</v>
      </c>
      <c r="H26" s="50" t="n">
        <v>40</v>
      </c>
      <c r="I26" s="50" t="s">
        <v>109</v>
      </c>
      <c r="J26" s="50" t="n">
        <v>60</v>
      </c>
      <c r="K26" s="50" t="s">
        <v>112</v>
      </c>
      <c r="L26" s="50" t="n">
        <v>23</v>
      </c>
      <c r="M26" s="50" t="s">
        <v>110</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125</v>
      </c>
      <c r="C27" s="50" t="n">
        <v>9</v>
      </c>
      <c r="D27" s="50" t="n">
        <v>9000</v>
      </c>
      <c r="E27" s="50" t="s">
        <v>107</v>
      </c>
      <c r="F27" s="50" t="n">
        <v>53</v>
      </c>
      <c r="G27" s="50" t="s">
        <v>108</v>
      </c>
      <c r="H27" s="50" t="n">
        <v>53</v>
      </c>
      <c r="I27" s="50" t="s">
        <v>109</v>
      </c>
      <c r="J27" s="50" t="n">
        <v>80</v>
      </c>
      <c r="K27" s="50" t="s">
        <v>112</v>
      </c>
      <c r="L27" s="50" t="n">
        <v>30</v>
      </c>
      <c r="M27" s="50" t="s">
        <v>110</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125</v>
      </c>
      <c r="C28" s="50" t="n">
        <v>10</v>
      </c>
      <c r="D28" s="50" t="n">
        <v>10000</v>
      </c>
      <c r="E28" s="50" t="s">
        <v>107</v>
      </c>
      <c r="F28" s="50" t="n">
        <v>70</v>
      </c>
      <c r="G28" s="50" t="s">
        <v>108</v>
      </c>
      <c r="H28" s="50" t="n">
        <v>70</v>
      </c>
      <c r="I28" s="50" t="s">
        <v>109</v>
      </c>
      <c r="J28" s="50" t="n">
        <v>100</v>
      </c>
      <c r="K28" s="50" t="s">
        <v>112</v>
      </c>
      <c r="L28" s="50" t="n">
        <v>40</v>
      </c>
      <c r="M28" s="50" t="s">
        <v>110</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126</v>
      </c>
      <c r="C29" s="50" t="n">
        <v>1</v>
      </c>
      <c r="D29" s="50" t="n">
        <v>0</v>
      </c>
      <c r="E29" s="50" t="s">
        <v>105</v>
      </c>
      <c r="F29" s="50" t="n">
        <v>0</v>
      </c>
      <c r="G29" s="50"/>
      <c r="H29" s="50"/>
      <c r="I29" s="50"/>
      <c r="J29" s="50"/>
      <c r="K29" s="50"/>
      <c r="L29" s="50"/>
      <c r="M29" s="50" t="s">
        <v>105</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127</v>
      </c>
      <c r="C30" s="50" t="n">
        <v>1</v>
      </c>
      <c r="D30" s="50" t="n">
        <v>1000</v>
      </c>
      <c r="E30" s="50" t="s">
        <v>108</v>
      </c>
      <c r="F30" s="50" t="n">
        <v>2</v>
      </c>
      <c r="G30" s="50" t="s">
        <v>110</v>
      </c>
      <c r="H30" s="50" t="n">
        <v>2</v>
      </c>
      <c r="I30" s="50"/>
      <c r="J30" s="50"/>
      <c r="K30" s="50"/>
      <c r="L30" s="50"/>
      <c r="M30" s="50" t="s">
        <v>111</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127</v>
      </c>
      <c r="C31" s="50" t="n">
        <v>2</v>
      </c>
      <c r="D31" s="50" t="n">
        <v>2000</v>
      </c>
      <c r="E31" s="50" t="s">
        <v>108</v>
      </c>
      <c r="F31" s="50" t="n">
        <v>3</v>
      </c>
      <c r="G31" s="50" t="s">
        <v>110</v>
      </c>
      <c r="H31" s="50" t="n">
        <v>3</v>
      </c>
      <c r="I31" s="50"/>
      <c r="J31" s="50"/>
      <c r="K31" s="50"/>
      <c r="L31" s="50"/>
      <c r="M31" s="50" t="s">
        <v>111</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127</v>
      </c>
      <c r="C32" s="50" t="n">
        <v>3</v>
      </c>
      <c r="D32" s="50" t="n">
        <v>3000</v>
      </c>
      <c r="E32" s="50" t="s">
        <v>108</v>
      </c>
      <c r="F32" s="50" t="n">
        <v>4</v>
      </c>
      <c r="G32" s="50" t="s">
        <v>110</v>
      </c>
      <c r="H32" s="50" t="n">
        <v>4</v>
      </c>
      <c r="I32" s="50"/>
      <c r="J32" s="50"/>
      <c r="K32" s="50"/>
      <c r="L32" s="50"/>
      <c r="M32" s="50" t="s">
        <v>111</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127</v>
      </c>
      <c r="C33" s="50" t="n">
        <v>4</v>
      </c>
      <c r="D33" s="50" t="n">
        <v>4000</v>
      </c>
      <c r="E33" s="50" t="s">
        <v>108</v>
      </c>
      <c r="F33" s="50" t="n">
        <v>5</v>
      </c>
      <c r="G33" s="50" t="s">
        <v>110</v>
      </c>
      <c r="H33" s="50" t="n">
        <v>5</v>
      </c>
      <c r="I33" s="50"/>
      <c r="J33" s="50"/>
      <c r="K33" s="50"/>
      <c r="L33" s="50"/>
      <c r="M33" s="50" t="s">
        <v>111</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127</v>
      </c>
      <c r="C34" s="50" t="n">
        <v>5</v>
      </c>
      <c r="D34" s="50" t="n">
        <v>5000</v>
      </c>
      <c r="E34" s="50" t="s">
        <v>108</v>
      </c>
      <c r="F34" s="50" t="n">
        <v>6</v>
      </c>
      <c r="G34" s="50" t="s">
        <v>110</v>
      </c>
      <c r="H34" s="50" t="n">
        <v>6</v>
      </c>
      <c r="I34" s="50" t="s">
        <v>112</v>
      </c>
      <c r="J34" s="50" t="n">
        <v>2</v>
      </c>
      <c r="K34" s="50"/>
      <c r="L34" s="50"/>
      <c r="M34" s="50" t="s">
        <v>111</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127</v>
      </c>
      <c r="C35" s="50" t="n">
        <v>6</v>
      </c>
      <c r="D35" s="50" t="n">
        <v>6000</v>
      </c>
      <c r="E35" s="50" t="s">
        <v>108</v>
      </c>
      <c r="F35" s="50" t="n">
        <v>7</v>
      </c>
      <c r="G35" s="50" t="s">
        <v>110</v>
      </c>
      <c r="H35" s="50" t="n">
        <v>7</v>
      </c>
      <c r="I35" s="50" t="s">
        <v>112</v>
      </c>
      <c r="J35" s="50" t="n">
        <v>4</v>
      </c>
      <c r="K35" s="50"/>
      <c r="L35" s="50"/>
      <c r="M35" s="50" t="s">
        <v>111</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127</v>
      </c>
      <c r="C36" s="50" t="n">
        <v>7</v>
      </c>
      <c r="D36" s="50" t="n">
        <v>7000</v>
      </c>
      <c r="E36" s="50" t="s">
        <v>108</v>
      </c>
      <c r="F36" s="50" t="n">
        <v>8</v>
      </c>
      <c r="G36" s="50" t="s">
        <v>110</v>
      </c>
      <c r="H36" s="50" t="n">
        <v>8</v>
      </c>
      <c r="I36" s="50" t="s">
        <v>112</v>
      </c>
      <c r="J36" s="50" t="n">
        <v>6</v>
      </c>
      <c r="K36" s="50"/>
      <c r="L36" s="50"/>
      <c r="M36" s="50" t="s">
        <v>111</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127</v>
      </c>
      <c r="C37" s="50" t="n">
        <v>8</v>
      </c>
      <c r="D37" s="50" t="n">
        <v>8000</v>
      </c>
      <c r="E37" s="50" t="s">
        <v>108</v>
      </c>
      <c r="F37" s="50" t="n">
        <v>9</v>
      </c>
      <c r="G37" s="50" t="s">
        <v>110</v>
      </c>
      <c r="H37" s="50" t="n">
        <v>9</v>
      </c>
      <c r="I37" s="50" t="s">
        <v>112</v>
      </c>
      <c r="J37" s="50" t="n">
        <v>8</v>
      </c>
      <c r="K37" s="50"/>
      <c r="L37" s="50"/>
      <c r="M37" s="50" t="s">
        <v>111</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127</v>
      </c>
      <c r="C38" s="50" t="n">
        <v>9</v>
      </c>
      <c r="D38" s="50" t="n">
        <v>9000</v>
      </c>
      <c r="E38" s="50" t="s">
        <v>108</v>
      </c>
      <c r="F38" s="50" t="n">
        <v>10</v>
      </c>
      <c r="G38" s="50" t="s">
        <v>110</v>
      </c>
      <c r="H38" s="50" t="n">
        <v>10</v>
      </c>
      <c r="I38" s="50" t="s">
        <v>112</v>
      </c>
      <c r="J38" s="50" t="n">
        <v>10</v>
      </c>
      <c r="K38" s="50"/>
      <c r="L38" s="50"/>
      <c r="M38" s="50" t="s">
        <v>111</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127</v>
      </c>
      <c r="C39" s="50" t="n">
        <v>10</v>
      </c>
      <c r="D39" s="50" t="n">
        <v>10000</v>
      </c>
      <c r="E39" s="50" t="s">
        <v>108</v>
      </c>
      <c r="F39" s="50" t="n">
        <v>11</v>
      </c>
      <c r="G39" s="50" t="s">
        <v>110</v>
      </c>
      <c r="H39" s="50" t="n">
        <v>11</v>
      </c>
      <c r="I39" s="50" t="s">
        <v>112</v>
      </c>
      <c r="J39" s="50" t="n">
        <v>15</v>
      </c>
      <c r="K39" s="50"/>
      <c r="L39" s="50"/>
      <c r="M39" s="50" t="s">
        <v>111</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128</v>
      </c>
      <c r="C40" s="50" t="n">
        <v>1</v>
      </c>
      <c r="D40" s="50" t="n">
        <v>1000</v>
      </c>
      <c r="E40" s="50" t="s">
        <v>108</v>
      </c>
      <c r="F40" s="50" t="n">
        <v>13</v>
      </c>
      <c r="G40" s="50" t="s">
        <v>111</v>
      </c>
      <c r="H40" s="50" t="n">
        <v>13</v>
      </c>
      <c r="I40" s="50" t="s">
        <v>110</v>
      </c>
      <c r="J40" s="50" t="n">
        <v>13</v>
      </c>
      <c r="K40" s="50"/>
      <c r="L40" s="50"/>
      <c r="M40" s="50" t="s">
        <v>106</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128</v>
      </c>
      <c r="C41" s="50" t="n">
        <v>2</v>
      </c>
      <c r="D41" s="50" t="n">
        <v>2000</v>
      </c>
      <c r="E41" s="50" t="s">
        <v>108</v>
      </c>
      <c r="F41" s="50" t="n">
        <v>14</v>
      </c>
      <c r="G41" s="50" t="s">
        <v>111</v>
      </c>
      <c r="H41" s="50" t="n">
        <v>14</v>
      </c>
      <c r="I41" s="50" t="s">
        <v>110</v>
      </c>
      <c r="J41" s="50" t="n">
        <v>14</v>
      </c>
      <c r="K41" s="50" t="s">
        <v>112</v>
      </c>
      <c r="L41" s="50" t="n">
        <v>4</v>
      </c>
      <c r="M41" s="50" t="s">
        <v>106</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128</v>
      </c>
      <c r="C42" s="50" t="n">
        <v>3</v>
      </c>
      <c r="D42" s="50" t="n">
        <v>3000</v>
      </c>
      <c r="E42" s="50" t="s">
        <v>108</v>
      </c>
      <c r="F42" s="50" t="n">
        <v>15</v>
      </c>
      <c r="G42" s="50" t="s">
        <v>111</v>
      </c>
      <c r="H42" s="50" t="n">
        <v>15</v>
      </c>
      <c r="I42" s="50" t="s">
        <v>110</v>
      </c>
      <c r="J42" s="50" t="n">
        <v>15</v>
      </c>
      <c r="K42" s="50" t="s">
        <v>112</v>
      </c>
      <c r="L42" s="50" t="n">
        <v>8</v>
      </c>
      <c r="M42" s="50" t="s">
        <v>106</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128</v>
      </c>
      <c r="C43" s="50" t="n">
        <v>4</v>
      </c>
      <c r="D43" s="50" t="n">
        <v>4000</v>
      </c>
      <c r="E43" s="50" t="s">
        <v>108</v>
      </c>
      <c r="F43" s="50" t="n">
        <v>16</v>
      </c>
      <c r="G43" s="50" t="s">
        <v>111</v>
      </c>
      <c r="H43" s="50" t="n">
        <v>16</v>
      </c>
      <c r="I43" s="50" t="s">
        <v>110</v>
      </c>
      <c r="J43" s="50" t="n">
        <v>16</v>
      </c>
      <c r="K43" s="50" t="s">
        <v>112</v>
      </c>
      <c r="L43" s="50"/>
      <c r="M43" s="50" t="s">
        <v>106</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128</v>
      </c>
      <c r="C44" s="50" t="n">
        <v>5</v>
      </c>
      <c r="D44" s="50" t="n">
        <v>5000</v>
      </c>
      <c r="E44" s="50" t="s">
        <v>108</v>
      </c>
      <c r="F44" s="50" t="n">
        <v>17</v>
      </c>
      <c r="G44" s="50" t="s">
        <v>111</v>
      </c>
      <c r="H44" s="50" t="n">
        <v>17</v>
      </c>
      <c r="I44" s="50" t="s">
        <v>110</v>
      </c>
      <c r="J44" s="50" t="n">
        <v>17</v>
      </c>
      <c r="K44" s="50" t="s">
        <v>112</v>
      </c>
      <c r="L44" s="50"/>
      <c r="M44" s="50" t="s">
        <v>106</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128</v>
      </c>
      <c r="C45" s="50" t="n">
        <v>6</v>
      </c>
      <c r="D45" s="50" t="n">
        <v>6000</v>
      </c>
      <c r="E45" s="50" t="s">
        <v>108</v>
      </c>
      <c r="F45" s="50" t="n">
        <v>18</v>
      </c>
      <c r="G45" s="50" t="s">
        <v>111</v>
      </c>
      <c r="H45" s="50" t="n">
        <v>18</v>
      </c>
      <c r="I45" s="50" t="s">
        <v>110</v>
      </c>
      <c r="J45" s="50" t="n">
        <v>18</v>
      </c>
      <c r="K45" s="50" t="s">
        <v>112</v>
      </c>
      <c r="L45" s="50"/>
      <c r="M45" s="50" t="s">
        <v>106</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128</v>
      </c>
      <c r="C46" s="50" t="n">
        <v>7</v>
      </c>
      <c r="D46" s="50" t="n">
        <v>7000</v>
      </c>
      <c r="E46" s="50" t="s">
        <v>108</v>
      </c>
      <c r="F46" s="50" t="n">
        <v>19</v>
      </c>
      <c r="G46" s="50" t="s">
        <v>111</v>
      </c>
      <c r="H46" s="50" t="n">
        <v>19</v>
      </c>
      <c r="I46" s="50" t="s">
        <v>110</v>
      </c>
      <c r="J46" s="50" t="n">
        <v>19</v>
      </c>
      <c r="K46" s="50" t="s">
        <v>112</v>
      </c>
      <c r="L46" s="50"/>
      <c r="M46" s="50" t="s">
        <v>106</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128</v>
      </c>
      <c r="C47" s="50" t="n">
        <v>8</v>
      </c>
      <c r="D47" s="50" t="n">
        <v>8000</v>
      </c>
      <c r="E47" s="50" t="s">
        <v>108</v>
      </c>
      <c r="F47" s="50" t="n">
        <v>13</v>
      </c>
      <c r="G47" s="50" t="s">
        <v>111</v>
      </c>
      <c r="H47" s="50" t="n">
        <v>13</v>
      </c>
      <c r="I47" s="50" t="s">
        <v>110</v>
      </c>
      <c r="J47" s="50" t="n">
        <v>20</v>
      </c>
      <c r="K47" s="50" t="s">
        <v>112</v>
      </c>
      <c r="L47" s="50"/>
      <c r="M47" s="50" t="s">
        <v>106</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128</v>
      </c>
      <c r="C48" s="50" t="n">
        <v>9</v>
      </c>
      <c r="D48" s="50" t="n">
        <v>9000</v>
      </c>
      <c r="E48" s="50" t="s">
        <v>108</v>
      </c>
      <c r="F48" s="50" t="n">
        <v>14</v>
      </c>
      <c r="G48" s="50" t="s">
        <v>111</v>
      </c>
      <c r="H48" s="50" t="n">
        <v>14</v>
      </c>
      <c r="I48" s="50" t="s">
        <v>110</v>
      </c>
      <c r="J48" s="50" t="n">
        <v>21</v>
      </c>
      <c r="K48" s="50" t="s">
        <v>112</v>
      </c>
      <c r="L48" s="50"/>
      <c r="M48" s="50" t="s">
        <v>106</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128</v>
      </c>
      <c r="C49" s="50" t="n">
        <v>10</v>
      </c>
      <c r="D49" s="50" t="n">
        <v>10000</v>
      </c>
      <c r="E49" s="50" t="s">
        <v>108</v>
      </c>
      <c r="F49" s="50" t="n">
        <v>15</v>
      </c>
      <c r="G49" s="50" t="s">
        <v>111</v>
      </c>
      <c r="H49" s="50" t="n">
        <v>15</v>
      </c>
      <c r="I49" s="50" t="s">
        <v>110</v>
      </c>
      <c r="J49" s="50" t="n">
        <v>22</v>
      </c>
      <c r="K49" s="50" t="s">
        <v>112</v>
      </c>
      <c r="L49" s="50"/>
      <c r="M49" s="50" t="s">
        <v>106</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129</v>
      </c>
      <c r="C50" s="50" t="n">
        <v>0</v>
      </c>
      <c r="D50" s="50" t="n">
        <v>0</v>
      </c>
      <c r="E50" s="50"/>
      <c r="F50" s="50"/>
      <c r="G50" s="50"/>
      <c r="H50" s="50"/>
      <c r="I50" s="50"/>
      <c r="J50" s="50"/>
      <c r="K50" s="50"/>
      <c r="L50" s="50"/>
      <c r="M50" s="50" t="s">
        <v>112</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130</v>
      </c>
      <c r="C51" s="50" t="n">
        <v>1</v>
      </c>
      <c r="D51" s="50" t="n">
        <v>1000</v>
      </c>
      <c r="E51" s="50" t="s">
        <v>110</v>
      </c>
      <c r="F51" s="50" t="n">
        <v>10</v>
      </c>
      <c r="G51" s="50"/>
      <c r="H51" s="50"/>
      <c r="I51" s="50"/>
      <c r="J51" s="50"/>
      <c r="K51" s="50"/>
      <c r="L51" s="50"/>
      <c r="M51" s="50" t="s">
        <v>106</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130</v>
      </c>
      <c r="C52" s="50" t="n">
        <v>2</v>
      </c>
      <c r="D52" s="50" t="n">
        <v>5000</v>
      </c>
      <c r="E52" s="50" t="s">
        <v>110</v>
      </c>
      <c r="F52" s="50" t="n">
        <v>30</v>
      </c>
      <c r="G52" s="50"/>
      <c r="H52" s="50"/>
      <c r="I52" s="50"/>
      <c r="J52" s="50"/>
      <c r="K52" s="50"/>
      <c r="L52" s="50"/>
      <c r="M52" s="50" t="s">
        <v>106</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131</v>
      </c>
      <c r="C53" s="50" t="n">
        <v>1</v>
      </c>
      <c r="D53" s="50" t="n">
        <v>1000</v>
      </c>
      <c r="E53" s="50" t="s">
        <v>108</v>
      </c>
      <c r="F53" s="50" t="n">
        <v>1</v>
      </c>
      <c r="G53" s="50" t="s">
        <v>109</v>
      </c>
      <c r="H53" s="50" t="n">
        <v>1</v>
      </c>
      <c r="I53" s="50" t="s">
        <v>110</v>
      </c>
      <c r="J53" s="50" t="n">
        <v>1</v>
      </c>
      <c r="K53" s="50"/>
      <c r="L53" s="50"/>
      <c r="M53" s="50" t="s">
        <v>106</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131</v>
      </c>
      <c r="C54" s="50" t="n">
        <v>2</v>
      </c>
      <c r="D54" s="50" t="n">
        <v>2000</v>
      </c>
      <c r="E54" s="50" t="s">
        <v>108</v>
      </c>
      <c r="F54" s="50" t="n">
        <v>2</v>
      </c>
      <c r="G54" s="50" t="s">
        <v>109</v>
      </c>
      <c r="H54" s="50" t="n">
        <v>2</v>
      </c>
      <c r="I54" s="50" t="s">
        <v>110</v>
      </c>
      <c r="J54" s="50" t="n">
        <v>2</v>
      </c>
      <c r="K54" s="50"/>
      <c r="L54" s="50"/>
      <c r="M54" s="50" t="s">
        <v>106</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131</v>
      </c>
      <c r="C55" s="50" t="n">
        <v>3</v>
      </c>
      <c r="D55" s="50" t="n">
        <v>3000</v>
      </c>
      <c r="E55" s="50" t="s">
        <v>108</v>
      </c>
      <c r="F55" s="50" t="n">
        <v>3</v>
      </c>
      <c r="G55" s="50" t="s">
        <v>109</v>
      </c>
      <c r="H55" s="50" t="n">
        <v>3</v>
      </c>
      <c r="I55" s="50" t="s">
        <v>110</v>
      </c>
      <c r="J55" s="50" t="n">
        <v>3</v>
      </c>
      <c r="K55" s="50"/>
      <c r="L55" s="50"/>
      <c r="M55" s="50" t="s">
        <v>106</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131</v>
      </c>
      <c r="C56" s="50" t="n">
        <v>4</v>
      </c>
      <c r="D56" s="50" t="n">
        <v>4000</v>
      </c>
      <c r="E56" s="50" t="s">
        <v>108</v>
      </c>
      <c r="F56" s="50" t="n">
        <v>4</v>
      </c>
      <c r="G56" s="50" t="s">
        <v>109</v>
      </c>
      <c r="H56" s="50" t="n">
        <v>4</v>
      </c>
      <c r="I56" s="50" t="s">
        <v>110</v>
      </c>
      <c r="J56" s="50" t="n">
        <v>4</v>
      </c>
      <c r="K56" s="50"/>
      <c r="L56" s="50"/>
      <c r="M56" s="50" t="s">
        <v>106</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131</v>
      </c>
      <c r="C57" s="50" t="n">
        <v>5</v>
      </c>
      <c r="D57" s="50" t="n">
        <v>5000</v>
      </c>
      <c r="E57" s="50" t="s">
        <v>108</v>
      </c>
      <c r="F57" s="50" t="n">
        <v>5</v>
      </c>
      <c r="G57" s="50" t="s">
        <v>109</v>
      </c>
      <c r="H57" s="50" t="n">
        <v>5</v>
      </c>
      <c r="I57" s="50" t="s">
        <v>110</v>
      </c>
      <c r="J57" s="50" t="n">
        <v>5</v>
      </c>
      <c r="K57" s="50"/>
      <c r="L57" s="50"/>
      <c r="M57" s="50" t="s">
        <v>106</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131</v>
      </c>
      <c r="C58" s="50" t="n">
        <v>6</v>
      </c>
      <c r="D58" s="50" t="n">
        <v>6000</v>
      </c>
      <c r="E58" s="50" t="s">
        <v>108</v>
      </c>
      <c r="F58" s="50" t="n">
        <v>6</v>
      </c>
      <c r="G58" s="50" t="s">
        <v>109</v>
      </c>
      <c r="H58" s="50" t="n">
        <v>6</v>
      </c>
      <c r="I58" s="50" t="s">
        <v>110</v>
      </c>
      <c r="J58" s="50" t="n">
        <v>6</v>
      </c>
      <c r="K58" s="50"/>
      <c r="L58" s="50"/>
      <c r="M58" s="50" t="s">
        <v>106</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131</v>
      </c>
      <c r="C59" s="50" t="n">
        <v>7</v>
      </c>
      <c r="D59" s="50" t="n">
        <v>7000</v>
      </c>
      <c r="E59" s="50" t="s">
        <v>108</v>
      </c>
      <c r="F59" s="50" t="n">
        <v>7</v>
      </c>
      <c r="G59" s="50" t="s">
        <v>109</v>
      </c>
      <c r="H59" s="50" t="n">
        <v>7</v>
      </c>
      <c r="I59" s="50" t="s">
        <v>110</v>
      </c>
      <c r="J59" s="50" t="n">
        <v>7</v>
      </c>
      <c r="K59" s="50"/>
      <c r="L59" s="50"/>
      <c r="M59" s="50" t="s">
        <v>106</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131</v>
      </c>
      <c r="C60" s="50" t="n">
        <v>8</v>
      </c>
      <c r="D60" s="50" t="n">
        <v>8000</v>
      </c>
      <c r="E60" s="50" t="s">
        <v>108</v>
      </c>
      <c r="F60" s="50" t="n">
        <v>8</v>
      </c>
      <c r="G60" s="50" t="s">
        <v>109</v>
      </c>
      <c r="H60" s="50" t="n">
        <v>8</v>
      </c>
      <c r="I60" s="50" t="s">
        <v>110</v>
      </c>
      <c r="J60" s="50" t="n">
        <v>8</v>
      </c>
      <c r="K60" s="50"/>
      <c r="L60" s="50"/>
      <c r="M60" s="50" t="s">
        <v>106</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131</v>
      </c>
      <c r="C61" s="50" t="n">
        <v>9</v>
      </c>
      <c r="D61" s="50" t="n">
        <v>9000</v>
      </c>
      <c r="E61" s="50" t="s">
        <v>108</v>
      </c>
      <c r="F61" s="50" t="n">
        <v>9</v>
      </c>
      <c r="G61" s="50" t="s">
        <v>109</v>
      </c>
      <c r="H61" s="50" t="n">
        <v>9</v>
      </c>
      <c r="I61" s="50" t="s">
        <v>110</v>
      </c>
      <c r="J61" s="50" t="n">
        <v>9</v>
      </c>
      <c r="K61" s="50"/>
      <c r="L61" s="50"/>
      <c r="M61" s="50" t="s">
        <v>106</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131</v>
      </c>
      <c r="C62" s="50" t="n">
        <v>10</v>
      </c>
      <c r="D62" s="50" t="n">
        <v>10000</v>
      </c>
      <c r="E62" s="50" t="s">
        <v>108</v>
      </c>
      <c r="F62" s="50" t="n">
        <v>10</v>
      </c>
      <c r="G62" s="50" t="s">
        <v>109</v>
      </c>
      <c r="H62" s="50" t="n">
        <v>10</v>
      </c>
      <c r="I62" s="50" t="s">
        <v>110</v>
      </c>
      <c r="J62" s="50" t="n">
        <v>10</v>
      </c>
      <c r="K62" s="50"/>
      <c r="L62" s="50"/>
      <c r="M62" s="50" t="s">
        <v>106</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130</v>
      </c>
      <c r="C63" s="50" t="n">
        <v>2</v>
      </c>
      <c r="D63" s="50" t="n">
        <v>2</v>
      </c>
      <c r="E63" s="50" t="s">
        <v>110</v>
      </c>
      <c r="F63" s="50" t="n">
        <v>30</v>
      </c>
      <c r="G63" s="50"/>
      <c r="H63" s="50"/>
      <c r="I63" s="50"/>
      <c r="J63" s="50"/>
      <c r="K63" s="50"/>
      <c r="L63" s="50"/>
      <c r="M63" s="50" t="s">
        <v>106</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113</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114</v>
      </c>
    </row>
    <row r="70" customFormat="false" ht="13.8" hidden="false" customHeight="false" outlineLevel="0" collapsed="false">
      <c r="A70" s="44" t="s">
        <v>137</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4" activeCellId="0" sqref="C34"/>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16</v>
      </c>
      <c r="B4" s="47" t="s">
        <v>159</v>
      </c>
      <c r="C4" s="47" t="s">
        <v>160</v>
      </c>
      <c r="D4" s="47" t="s">
        <v>161</v>
      </c>
    </row>
    <row r="5" customFormat="false" ht="12.75" hidden="false" customHeight="false" outlineLevel="0" collapsed="false">
      <c r="A5" s="49" t="s">
        <v>162</v>
      </c>
      <c r="B5" s="49" t="s">
        <v>163</v>
      </c>
      <c r="C5" s="49" t="s">
        <v>164</v>
      </c>
      <c r="D5" s="49" t="s">
        <v>165</v>
      </c>
    </row>
    <row r="6" customFormat="false" ht="12.75" hidden="false" customHeight="false" outlineLevel="0" collapsed="false">
      <c r="A6" s="50" t="n">
        <v>1</v>
      </c>
      <c r="B6" s="50" t="n">
        <v>0</v>
      </c>
      <c r="C6" s="50" t="s">
        <v>166</v>
      </c>
      <c r="D6" s="50" t="n">
        <v>1</v>
      </c>
    </row>
    <row r="7" customFormat="false" ht="12.75" hidden="false" customHeight="false" outlineLevel="0" collapsed="false">
      <c r="A7" s="50" t="n">
        <v>1</v>
      </c>
      <c r="B7" s="50" t="n">
        <v>1</v>
      </c>
      <c r="C7" s="50" t="s">
        <v>167</v>
      </c>
      <c r="D7" s="50" t="n">
        <v>2</v>
      </c>
    </row>
    <row r="8" customFormat="false" ht="12.75" hidden="false" customHeight="false" outlineLevel="0" collapsed="false">
      <c r="A8" s="50" t="n">
        <v>1</v>
      </c>
      <c r="B8" s="50" t="n">
        <v>2</v>
      </c>
      <c r="C8" s="50" t="s">
        <v>168</v>
      </c>
      <c r="D8" s="50" t="n">
        <v>3</v>
      </c>
    </row>
    <row r="9" customFormat="false" ht="21.35" hidden="false" customHeight="false" outlineLevel="0" collapsed="false">
      <c r="A9" s="50" t="n">
        <v>1</v>
      </c>
      <c r="B9" s="50" t="n">
        <v>3</v>
      </c>
      <c r="C9" s="65" t="s">
        <v>169</v>
      </c>
      <c r="D9" s="50" t="n">
        <v>4</v>
      </c>
    </row>
    <row r="10" customFormat="false" ht="12.75" hidden="false" customHeight="false" outlineLevel="0" collapsed="false">
      <c r="A10" s="50" t="n">
        <v>1</v>
      </c>
      <c r="B10" s="50" t="n">
        <v>4</v>
      </c>
      <c r="C10" s="50" t="s">
        <v>170</v>
      </c>
      <c r="D10" s="50" t="s">
        <v>136</v>
      </c>
    </row>
    <row r="11" customFormat="false" ht="12.75" hidden="false" customHeight="false" outlineLevel="0" collapsed="false">
      <c r="A11" s="50" t="n">
        <v>1</v>
      </c>
      <c r="B11" s="50" t="n">
        <v>5</v>
      </c>
      <c r="C11" s="50" t="s">
        <v>171</v>
      </c>
      <c r="D11" s="50" t="s">
        <v>136</v>
      </c>
    </row>
    <row r="12" customFormat="false" ht="12.75" hidden="false" customHeight="false" outlineLevel="0" collapsed="false">
      <c r="A12" s="50" t="n">
        <v>1</v>
      </c>
      <c r="B12" s="50" t="n">
        <v>6</v>
      </c>
      <c r="C12" s="50" t="s">
        <v>172</v>
      </c>
      <c r="D12" s="50" t="n">
        <v>5</v>
      </c>
    </row>
    <row r="13" customFormat="false" ht="12.75" hidden="false" customHeight="false" outlineLevel="0" collapsed="false">
      <c r="A13" s="50" t="n">
        <v>1</v>
      </c>
      <c r="B13" s="50" t="n">
        <v>7</v>
      </c>
      <c r="C13" s="50" t="s">
        <v>173</v>
      </c>
      <c r="D13" s="50" t="s">
        <v>136</v>
      </c>
    </row>
    <row r="14" customFormat="false" ht="12.75" hidden="false" customHeight="false" outlineLevel="0" collapsed="false">
      <c r="A14" s="50" t="n">
        <v>2</v>
      </c>
      <c r="B14" s="50" t="n">
        <v>1</v>
      </c>
      <c r="C14" s="50" t="s">
        <v>174</v>
      </c>
      <c r="D14" s="50" t="n">
        <v>6</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175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H1048576"/>
  <sheetViews>
    <sheetView showFormulas="false" showGridLines="true" showRowColHeaders="true" showZeros="true" rightToLeft="false" tabSelected="true" showOutlineSymbols="true" defaultGridColor="true" view="normal" topLeftCell="A7" colorId="64" zoomScale="100" zoomScaleNormal="100" zoomScalePageLayoutView="100" workbookViewId="0">
      <selection pane="topLeft" activeCell="E40" activeCellId="0" sqref="E40"/>
    </sheetView>
  </sheetViews>
  <sheetFormatPr defaultColWidth="11.64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6.43"/>
    <col collapsed="false" customWidth="true" hidden="false" outlineLevel="0" max="4" min="4" style="44" width="13.7"/>
    <col collapsed="false" customWidth="true" hidden="false" outlineLevel="0" max="5" min="5" style="44" width="33.9"/>
    <col collapsed="false" customWidth="true" hidden="false" outlineLevel="0" max="6" min="6" style="44" width="29.98"/>
    <col collapsed="false" customWidth="true" hidden="false" outlineLevel="0" max="7" min="7" style="66" width="15.03"/>
    <col collapsed="false" customWidth="true" hidden="false" outlineLevel="0" max="8" min="8" style="66" width="99.74"/>
  </cols>
  <sheetData>
    <row r="3" customFormat="false" ht="13.8" hidden="false" customHeight="false" outlineLevel="0" collapsed="false">
      <c r="A3" s="46" t="s">
        <v>94</v>
      </c>
      <c r="B3" s="46"/>
      <c r="C3" s="46"/>
      <c r="D3" s="46"/>
      <c r="E3" s="46"/>
      <c r="F3" s="46"/>
      <c r="H3" s="67" t="s">
        <v>176</v>
      </c>
    </row>
    <row r="4" customFormat="false" ht="13.8" hidden="false" customHeight="false" outlineLevel="0" collapsed="false">
      <c r="A4" s="47" t="s">
        <v>95</v>
      </c>
      <c r="B4" s="47" t="s">
        <v>96</v>
      </c>
      <c r="C4" s="68" t="s">
        <v>177</v>
      </c>
      <c r="D4" s="68" t="s">
        <v>178</v>
      </c>
      <c r="E4" s="47" t="s">
        <v>96</v>
      </c>
      <c r="F4" s="47" t="s">
        <v>179</v>
      </c>
      <c r="H4" s="67" t="s">
        <v>180</v>
      </c>
    </row>
    <row r="5" customFormat="false" ht="13.8" hidden="false" customHeight="false" outlineLevel="0" collapsed="false">
      <c r="A5" s="49" t="s">
        <v>101</v>
      </c>
      <c r="B5" s="49" t="s">
        <v>181</v>
      </c>
      <c r="C5" s="49"/>
      <c r="D5" s="49"/>
      <c r="E5" s="49" t="s">
        <v>182</v>
      </c>
      <c r="F5" s="49" t="s">
        <v>183</v>
      </c>
      <c r="H5" s="67" t="s">
        <v>184</v>
      </c>
    </row>
    <row r="6" customFormat="false" ht="13.8" hidden="false" customHeight="false" outlineLevel="0" collapsed="false">
      <c r="A6" s="50" t="n">
        <v>0</v>
      </c>
      <c r="B6" s="50" t="s">
        <v>185</v>
      </c>
      <c r="C6" s="50" t="n">
        <v>5</v>
      </c>
      <c r="D6" s="50" t="s">
        <v>186</v>
      </c>
      <c r="E6" s="50" t="s">
        <v>187</v>
      </c>
      <c r="F6" s="50" t="str">
        <f aca="false">"{ ""x"": " &amp; TRIM(INDEX(_xlfn.TEXTSPLIT(D6,","),1)) &amp;
", ""y"": " &amp; TRIM(INDEX(_xlfn.TEXTSPLIT(D6,","),2)) &amp;
", ""z"": " &amp; C6 &amp; " }"</f>
        <v>{ "x": 0, "y": 0, "z": 5 }</v>
      </c>
      <c r="H6" s="67" t="s">
        <v>188</v>
      </c>
    </row>
    <row r="7" customFormat="false" ht="13.8" hidden="false" customHeight="false" outlineLevel="0" collapsed="false">
      <c r="A7" s="50" t="n">
        <v>0</v>
      </c>
      <c r="B7" s="50" t="s">
        <v>189</v>
      </c>
      <c r="C7" s="50" t="n">
        <v>5</v>
      </c>
      <c r="D7" s="50" t="s">
        <v>186</v>
      </c>
      <c r="E7" s="50"/>
      <c r="F7" s="50" t="str">
        <f aca="false">"{ ""x"": " &amp; TRIM(INDEX(_xlfn.TEXTSPLIT(D7,","),1)) &amp;
", ""y"": " &amp; TRIM(INDEX(_xlfn.TEXTSPLIT(D7,","),2)) &amp;
", ""z"": " &amp; C7 &amp; " }"</f>
        <v>{ "x": 0, "y": 0, "z": 5 }</v>
      </c>
      <c r="H7" s="67" t="s">
        <v>190</v>
      </c>
    </row>
    <row r="8" customFormat="false" ht="13.8" hidden="false" customHeight="false" outlineLevel="0" collapsed="false">
      <c r="A8" s="50" t="n">
        <v>0</v>
      </c>
      <c r="B8" s="50" t="s">
        <v>191</v>
      </c>
      <c r="C8" s="50" t="n">
        <v>1</v>
      </c>
      <c r="D8" s="50" t="s">
        <v>186</v>
      </c>
      <c r="E8" s="50" t="s">
        <v>192</v>
      </c>
      <c r="F8" s="50" t="str">
        <f aca="false">"{ ""x"": " &amp; TRIM(INDEX(_xlfn.TEXTSPLIT(D8,","),1)) &amp;
", ""y"": " &amp; TRIM(INDEX(_xlfn.TEXTSPLIT(D8,","),2)) &amp;
", ""z"": " &amp; C8 &amp; " }"</f>
        <v>{ "x": 0, "y": 0, "z": 1 }</v>
      </c>
      <c r="H8" s="67" t="s">
        <v>193</v>
      </c>
    </row>
    <row r="9" customFormat="false" ht="13.8" hidden="false" customHeight="false" outlineLevel="0" collapsed="false">
      <c r="A9" s="50" t="n">
        <v>0</v>
      </c>
      <c r="B9" s="50" t="s">
        <v>194</v>
      </c>
      <c r="C9" s="50" t="n">
        <v>1</v>
      </c>
      <c r="D9" s="50" t="s">
        <v>186</v>
      </c>
      <c r="E9" s="50"/>
      <c r="F9" s="50" t="str">
        <f aca="false">"{ ""x"": " &amp; TRIM(INDEX(_xlfn.TEXTSPLIT(D9,","),1)) &amp;
", ""y"": " &amp; TRIM(INDEX(_xlfn.TEXTSPLIT(D9,","),2)) &amp;
", ""z"": " &amp; C9 &amp; " }"</f>
        <v>{ "x": 0, "y": 0, "z": 1 }</v>
      </c>
      <c r="H9" s="67" t="s">
        <v>195</v>
      </c>
    </row>
    <row r="10" customFormat="false" ht="13.8" hidden="false" customHeight="false" outlineLevel="0" collapsed="false">
      <c r="A10" s="50" t="n">
        <v>0</v>
      </c>
      <c r="B10" s="50" t="s">
        <v>196</v>
      </c>
      <c r="C10" s="50" t="n">
        <v>2</v>
      </c>
      <c r="D10" s="50" t="s">
        <v>186</v>
      </c>
      <c r="E10" s="50" t="s">
        <v>197</v>
      </c>
      <c r="F10" s="50" t="str">
        <f aca="false">"{ ""x"": " &amp; TRIM(INDEX(_xlfn.TEXTSPLIT(D10,","),1)) &amp;
", ""y"": " &amp; TRIM(INDEX(_xlfn.TEXTSPLIT(D10,","),2)) &amp;
", ""z"": " &amp; C10 &amp; " }"</f>
        <v>{ "x": 0, "y": 0, "z": 2 }</v>
      </c>
      <c r="H10" s="67" t="s">
        <v>198</v>
      </c>
    </row>
    <row r="11" customFormat="false" ht="13.8" hidden="false" customHeight="false" outlineLevel="0" collapsed="false">
      <c r="A11" s="50" t="n">
        <v>0</v>
      </c>
      <c r="B11" s="50" t="s">
        <v>199</v>
      </c>
      <c r="C11" s="50" t="n">
        <v>2</v>
      </c>
      <c r="D11" s="50" t="s">
        <v>186</v>
      </c>
      <c r="E11" s="50"/>
      <c r="F11" s="50" t="str">
        <f aca="false">"{ ""x"": " &amp; TRIM(INDEX(_xlfn.TEXTSPLIT(D11,","),1)) &amp;
", ""y"": " &amp; TRIM(INDEX(_xlfn.TEXTSPLIT(D11,","),2)) &amp;
", ""z"": " &amp; C11 &amp; " }"</f>
        <v>{ "x": 0, "y": 0, "z": 2 }</v>
      </c>
      <c r="H11" s="67" t="s">
        <v>200</v>
      </c>
    </row>
    <row r="12" customFormat="false" ht="13.8" hidden="false" customHeight="false" outlineLevel="0" collapsed="false">
      <c r="A12" s="50" t="n">
        <v>0</v>
      </c>
      <c r="B12" s="50" t="s">
        <v>201</v>
      </c>
      <c r="C12" s="50" t="n">
        <v>2</v>
      </c>
      <c r="D12" s="50" t="s">
        <v>186</v>
      </c>
      <c r="E12" s="50" t="s">
        <v>202</v>
      </c>
      <c r="F12" s="50" t="str">
        <f aca="false">"{ ""x"": " &amp; TRIM(INDEX(_xlfn.TEXTSPLIT(D12,","),1)) &amp;
", ""y"": " &amp; TRIM(INDEX(_xlfn.TEXTSPLIT(D12,","),2)) &amp;
", ""z"": " &amp; C12 &amp; " }"</f>
        <v>{ "x": 0, "y": 0, "z": 2 }</v>
      </c>
      <c r="H12" s="67" t="s">
        <v>203</v>
      </c>
    </row>
    <row r="13" customFormat="false" ht="13.8" hidden="false" customHeight="false" outlineLevel="0" collapsed="false">
      <c r="A13" s="50" t="n">
        <v>0</v>
      </c>
      <c r="B13" s="50" t="s">
        <v>204</v>
      </c>
      <c r="C13" s="50" t="n">
        <v>3</v>
      </c>
      <c r="D13" s="50" t="s">
        <v>186</v>
      </c>
      <c r="E13" s="50" t="s">
        <v>205</v>
      </c>
      <c r="F13" s="50" t="str">
        <f aca="false">"{ ""x"": " &amp; TRIM(INDEX(_xlfn.TEXTSPLIT(D13,","),1)) &amp;
", ""y"": " &amp; TRIM(INDEX(_xlfn.TEXTSPLIT(D13,","),2)) &amp;
", ""z"": " &amp; C13 &amp; " }"</f>
        <v>{ "x": 0, "y": 0, "z": 3 }</v>
      </c>
      <c r="H13" s="67" t="s">
        <v>206</v>
      </c>
    </row>
    <row r="14" customFormat="false" ht="13.8" hidden="false" customHeight="false" outlineLevel="0" collapsed="false">
      <c r="A14" s="50" t="n">
        <v>0</v>
      </c>
      <c r="B14" s="50" t="s">
        <v>207</v>
      </c>
      <c r="C14" s="50" t="n">
        <v>3</v>
      </c>
      <c r="D14" s="50" t="s">
        <v>186</v>
      </c>
      <c r="E14" s="50"/>
      <c r="F14" s="50" t="str">
        <f aca="false">"{ ""x"": " &amp; TRIM(INDEX(_xlfn.TEXTSPLIT(D14,","),1)) &amp;
", ""y"": " &amp; TRIM(INDEX(_xlfn.TEXTSPLIT(D14,","),2)) &amp;
", ""z"": " &amp; C14 &amp; " }"</f>
        <v>{ "x": 0, "y": 0, "z": 3 }</v>
      </c>
    </row>
    <row r="15" customFormat="false" ht="13.8" hidden="false" customHeight="false" outlineLevel="0" collapsed="false">
      <c r="A15" s="50" t="n">
        <v>0</v>
      </c>
      <c r="B15" s="50" t="s">
        <v>208</v>
      </c>
      <c r="C15" s="50" t="n">
        <v>4</v>
      </c>
      <c r="D15" s="50" t="s">
        <v>186</v>
      </c>
      <c r="E15" s="50" t="n">
        <v>1</v>
      </c>
      <c r="F15" s="50" t="str">
        <f aca="false">"{ ""x"": " &amp; TRIM(INDEX(_xlfn.TEXTSPLIT(D15,","),1)) &amp;
", ""y"": " &amp; TRIM(INDEX(_xlfn.TEXTSPLIT(D15,","),2)) &amp;
", ""z"": " &amp; C15 &amp; " }"</f>
        <v>{ "x": 0, "y": 0, "z": 4 }</v>
      </c>
      <c r="H15" s="69" t="s">
        <v>209</v>
      </c>
    </row>
    <row r="16" customFormat="false" ht="13.8" hidden="false" customHeight="false" outlineLevel="0" collapsed="false">
      <c r="A16" s="50" t="n">
        <v>0</v>
      </c>
      <c r="B16" s="50" t="s">
        <v>210</v>
      </c>
      <c r="C16" s="50" t="n">
        <v>4</v>
      </c>
      <c r="D16" s="50" t="s">
        <v>186</v>
      </c>
      <c r="E16" s="50"/>
      <c r="F16" s="50" t="str">
        <f aca="false">"{ ""x"": " &amp; TRIM(INDEX(_xlfn.TEXTSPLIT(D16,","),1)) &amp;
", ""y"": " &amp; TRIM(INDEX(_xlfn.TEXTSPLIT(D16,","),2)) &amp;
", ""z"": " &amp; C16 &amp; " }"</f>
        <v>{ "x": 0, "y": 0, "z": 4 }</v>
      </c>
      <c r="H16" s="67" t="s">
        <v>211</v>
      </c>
    </row>
    <row r="17" customFormat="false" ht="13.8" hidden="false" customHeight="false" outlineLevel="0" collapsed="false">
      <c r="A17" s="50" t="n">
        <v>0</v>
      </c>
      <c r="B17" s="50" t="s">
        <v>212</v>
      </c>
      <c r="C17" s="50" t="n">
        <v>0</v>
      </c>
      <c r="D17" s="50" t="s">
        <v>186</v>
      </c>
      <c r="E17" s="50" t="n">
        <v>2</v>
      </c>
      <c r="F17" s="50" t="str">
        <f aca="false">"{ ""x"": " &amp; TRIM(INDEX(_xlfn.TEXTSPLIT(D17,","),1)) &amp;
", ""y"": " &amp; TRIM(INDEX(_xlfn.TEXTSPLIT(D17,","),2)) &amp;
", ""z"": " &amp; C17 &amp; " }"</f>
        <v>{ "x": 0, "y": 0, "z": 0 }</v>
      </c>
      <c r="H17" s="69" t="s">
        <v>213</v>
      </c>
    </row>
    <row r="18" customFormat="false" ht="13.8" hidden="false" customHeight="false" outlineLevel="0" collapsed="false">
      <c r="A18" s="50" t="n">
        <v>0</v>
      </c>
      <c r="B18" s="50" t="s">
        <v>214</v>
      </c>
      <c r="C18" s="50" t="n">
        <v>0</v>
      </c>
      <c r="D18" s="50" t="s">
        <v>186</v>
      </c>
      <c r="E18" s="50" t="n">
        <v>2</v>
      </c>
      <c r="F18" s="50" t="str">
        <f aca="false">"{ ""x"": " &amp; TRIM(INDEX(_xlfn.TEXTSPLIT(D18,","),1)) &amp;
", ""y"": " &amp; TRIM(INDEX(_xlfn.TEXTSPLIT(D18,","),2)) &amp;
", ""z"": " &amp; C18 &amp; " }"</f>
        <v>{ "x": 0, "y": 0, "z": 0 }</v>
      </c>
      <c r="H18" s="67" t="s">
        <v>215</v>
      </c>
    </row>
    <row r="19" customFormat="false" ht="13.8" hidden="false" customHeight="false" outlineLevel="0" collapsed="false">
      <c r="A19" s="50" t="n">
        <v>0</v>
      </c>
      <c r="B19" s="50" t="s">
        <v>216</v>
      </c>
      <c r="C19" s="50" t="n">
        <v>0</v>
      </c>
      <c r="D19" s="50" t="s">
        <v>186</v>
      </c>
      <c r="E19" s="50" t="n">
        <v>100</v>
      </c>
      <c r="F19" s="50" t="str">
        <f aca="false">"{ ""x"": " &amp; TRIM(INDEX(_xlfn.TEXTSPLIT(D19,","),1)) &amp;
", ""y"": " &amp; TRIM(INDEX(_xlfn.TEXTSPLIT(D19,","),2)) &amp;
", ""z"": " &amp; C19 &amp; " }"</f>
        <v>{ "x": 0, "y": 0, "z": 0 }</v>
      </c>
      <c r="H19" s="67" t="s">
        <v>217</v>
      </c>
    </row>
    <row r="20" customFormat="false" ht="13.8" hidden="false" customHeight="false" outlineLevel="0" collapsed="false">
      <c r="A20" s="50" t="n">
        <v>0</v>
      </c>
      <c r="B20" s="50" t="s">
        <v>218</v>
      </c>
      <c r="C20" s="50" t="n">
        <v>0</v>
      </c>
      <c r="D20" s="50" t="s">
        <v>186</v>
      </c>
      <c r="E20" s="50" t="s">
        <v>219</v>
      </c>
      <c r="F20" s="50" t="str">
        <f aca="false">"{ ""x"": " &amp; TRIM(INDEX(_xlfn.TEXTSPLIT(D20,","),1)) &amp;
", ""y"": " &amp; TRIM(INDEX(_xlfn.TEXTSPLIT(D20,","),2)) &amp;
", ""z"": " &amp; C20 &amp; " }"</f>
        <v>{ "x": 0, "y": 0, "z": 0 }</v>
      </c>
      <c r="H20" s="69" t="s">
        <v>220</v>
      </c>
    </row>
    <row r="21" customFormat="false" ht="13.8" hidden="false" customHeight="false" outlineLevel="0" collapsed="false">
      <c r="A21" s="50" t="n">
        <v>0</v>
      </c>
      <c r="B21" s="50" t="s">
        <v>221</v>
      </c>
      <c r="C21" s="50" t="n">
        <v>0</v>
      </c>
      <c r="D21" s="50" t="s">
        <v>186</v>
      </c>
      <c r="E21" s="50"/>
      <c r="F21" s="50" t="str">
        <f aca="false">"{ ""x"": " &amp; TRIM(INDEX(_xlfn.TEXTSPLIT(D21,","),1)) &amp;
", ""y"": " &amp; TRIM(INDEX(_xlfn.TEXTSPLIT(D21,","),2)) &amp;
", ""z"": " &amp; C21 &amp; " }"</f>
        <v>{ "x": 0, "y": 0, "z": 0 }</v>
      </c>
      <c r="H21" s="67" t="s">
        <v>222</v>
      </c>
    </row>
    <row r="22" customFormat="false" ht="13.8" hidden="false" customHeight="false" outlineLevel="0" collapsed="false">
      <c r="A22" s="50" t="n">
        <v>0</v>
      </c>
      <c r="B22" s="50" t="s">
        <v>223</v>
      </c>
      <c r="C22" s="50" t="n">
        <v>1</v>
      </c>
      <c r="D22" s="50" t="s">
        <v>186</v>
      </c>
      <c r="E22" s="50" t="n">
        <v>100</v>
      </c>
      <c r="F22" s="50" t="str">
        <f aca="false">"{ ""x"": " &amp; TRIM(INDEX(_xlfn.TEXTSPLIT(D22,","),1)) &amp;
", ""y"": " &amp; TRIM(INDEX(_xlfn.TEXTSPLIT(D22,","),2)) &amp;
", ""z"": " &amp; C22 &amp; " }"</f>
        <v>{ "x": 0, "y": 0, "z": 1 }</v>
      </c>
      <c r="H22" s="67" t="s">
        <v>224</v>
      </c>
    </row>
    <row r="23" customFormat="false" ht="13.8" hidden="false" customHeight="false" outlineLevel="0" collapsed="false">
      <c r="A23" s="50" t="n">
        <v>0</v>
      </c>
      <c r="B23" s="50" t="s">
        <v>225</v>
      </c>
      <c r="C23" s="50" t="n">
        <v>1</v>
      </c>
      <c r="D23" s="50" t="s">
        <v>186</v>
      </c>
      <c r="E23" s="50" t="n">
        <v>50</v>
      </c>
      <c r="F23" s="50" t="str">
        <f aca="false">"{ ""x"": " &amp; TRIM(INDEX(_xlfn.TEXTSPLIT(D23,","),1)) &amp;
", ""y"": " &amp; TRIM(INDEX(_xlfn.TEXTSPLIT(D23,","),2)) &amp;
", ""z"": " &amp; C23 &amp; " }"</f>
        <v>{ "x": 0, "y": 0, "z": 1 }</v>
      </c>
      <c r="H23" s="69" t="s">
        <v>226</v>
      </c>
    </row>
    <row r="24" customFormat="false" ht="13.8" hidden="false" customHeight="false" outlineLevel="0" collapsed="false">
      <c r="A24" s="50" t="n">
        <v>1</v>
      </c>
      <c r="B24" s="50" t="s">
        <v>223</v>
      </c>
      <c r="C24" s="50" t="n">
        <v>0</v>
      </c>
      <c r="D24" s="50" t="s">
        <v>227</v>
      </c>
      <c r="E24" s="50" t="n">
        <v>0</v>
      </c>
      <c r="F24" s="50" t="str">
        <f aca="false">"{ ""x"": " &amp; TRIM(INDEX(_xlfn.TEXTSPLIT(D24,","),1)) &amp;
", ""y"": " &amp; TRIM(INDEX(_xlfn.TEXTSPLIT(D24,","),2)) &amp;
", ""z"": " &amp; C24 &amp; " }"</f>
        <v>{ "x": 100, "y": -100, "z": 0 }</v>
      </c>
      <c r="H24" s="67" t="s">
        <v>228</v>
      </c>
    </row>
    <row r="25" customFormat="false" ht="13.8" hidden="false" customHeight="false" outlineLevel="0" collapsed="false">
      <c r="A25" s="50" t="n">
        <v>1</v>
      </c>
      <c r="B25" s="50" t="s">
        <v>225</v>
      </c>
      <c r="C25" s="50" t="n">
        <v>0</v>
      </c>
      <c r="D25" s="50" t="s">
        <v>229</v>
      </c>
      <c r="E25" s="50" t="n">
        <v>0</v>
      </c>
      <c r="F25" s="50" t="str">
        <f aca="false">"{ ""x"": " &amp; TRIM(INDEX(_xlfn.TEXTSPLIT(D25,","),1)) &amp;
", ""y"": " &amp; TRIM(INDEX(_xlfn.TEXTSPLIT(D25,","),2)) &amp;
", ""z"": " &amp; C25 &amp; " }"</f>
        <v>{ "x": 1.5, "y": 1.5, "z": 0 }</v>
      </c>
      <c r="H25" s="69" t="s">
        <v>230</v>
      </c>
    </row>
    <row r="26" customFormat="false" ht="13.8" hidden="false" customHeight="false" outlineLevel="0" collapsed="false">
      <c r="A26" s="50" t="n">
        <v>1</v>
      </c>
      <c r="B26" s="50" t="s">
        <v>208</v>
      </c>
      <c r="C26" s="50" t="n">
        <v>0</v>
      </c>
      <c r="D26" s="50" t="s">
        <v>231</v>
      </c>
      <c r="E26" s="50" t="n">
        <v>1</v>
      </c>
      <c r="F26" s="50" t="str">
        <f aca="false">"{ ""x"": " &amp; TRIM(INDEX(_xlfn.TEXTSPLIT(D26,","),1)) &amp;
", ""y"": " &amp; TRIM(INDEX(_xlfn.TEXTSPLIT(D26,","),2)) &amp;
", ""z"": " &amp; C26 &amp; " }"</f>
        <v>{ "x": -550, "y": 200, "z": 0 }</v>
      </c>
      <c r="H26" s="67" t="s">
        <v>232</v>
      </c>
    </row>
    <row r="27" customFormat="false" ht="13.8" hidden="false" customHeight="false" outlineLevel="0" collapsed="false">
      <c r="A27" s="50" t="n">
        <v>1</v>
      </c>
      <c r="B27" s="50" t="s">
        <v>208</v>
      </c>
      <c r="C27" s="50" t="n">
        <v>0</v>
      </c>
      <c r="D27" s="50" t="s">
        <v>233</v>
      </c>
      <c r="E27" s="50" t="n">
        <v>2</v>
      </c>
      <c r="F27" s="50" t="str">
        <f aca="false">"{ ""x"": " &amp; TRIM(INDEX(_xlfn.TEXTSPLIT(D27,","),1)) &amp;
", ""y"": " &amp; TRIM(INDEX(_xlfn.TEXTSPLIT(D27,","),2)) &amp;
", ""z"": " &amp; C27 &amp; " }"</f>
        <v>{ "x": -550, "y": -100, "z": 0 }</v>
      </c>
      <c r="H27" s="67" t="s">
        <v>234</v>
      </c>
    </row>
    <row r="28" customFormat="false" ht="13.8" hidden="false" customHeight="false" outlineLevel="0" collapsed="false">
      <c r="A28" s="50" t="n">
        <v>2</v>
      </c>
      <c r="B28" s="50" t="s">
        <v>208</v>
      </c>
      <c r="C28" s="50" t="n">
        <v>0</v>
      </c>
      <c r="D28" s="50" t="s">
        <v>235</v>
      </c>
      <c r="E28" s="50" t="n">
        <v>3</v>
      </c>
      <c r="F28" s="50" t="str">
        <f aca="false">"{ ""x"": " &amp; TRIM(INDEX(_xlfn.TEXTSPLIT(D28,","),1)) &amp;
", ""y"": " &amp; TRIM(INDEX(_xlfn.TEXTSPLIT(D28,","),2)) &amp;
", ""z"": " &amp; C28 &amp; " }"</f>
        <v>{ "x": -175, "y": 275, "z": 0 }</v>
      </c>
      <c r="H28" s="67" t="s">
        <v>236</v>
      </c>
    </row>
    <row r="29" customFormat="false" ht="13.8" hidden="false" customHeight="false" outlineLevel="0" collapsed="false">
      <c r="A29" s="50" t="n">
        <v>2</v>
      </c>
      <c r="B29" s="50" t="s">
        <v>208</v>
      </c>
      <c r="C29" s="50" t="n">
        <v>0</v>
      </c>
      <c r="D29" s="50" t="s">
        <v>237</v>
      </c>
      <c r="E29" s="50" t="n">
        <v>4</v>
      </c>
      <c r="F29" s="50" t="str">
        <f aca="false">"{ ""x"": " &amp; TRIM(INDEX(_xlfn.TEXTSPLIT(D29,","),1)) &amp;
", ""y"": " &amp; TRIM(INDEX(_xlfn.TEXTSPLIT(D29,","),2)) &amp;
", ""z"": " &amp; C29 &amp; " }"</f>
        <v>{ "x": 225, "y": 25, "z": 0 }</v>
      </c>
      <c r="H29" s="69" t="s">
        <v>238</v>
      </c>
    </row>
    <row r="30" customFormat="false" ht="13.8" hidden="false" customHeight="false" outlineLevel="0" collapsed="false">
      <c r="A30" s="50" t="n">
        <v>2</v>
      </c>
      <c r="B30" s="50" t="s">
        <v>208</v>
      </c>
      <c r="C30" s="50" t="n">
        <v>1</v>
      </c>
      <c r="D30" s="50" t="s">
        <v>239</v>
      </c>
      <c r="E30" s="50" t="n">
        <v>9</v>
      </c>
      <c r="F30" s="50" t="str">
        <f aca="false">"{ ""x"": " &amp; TRIM(INDEX(_xlfn.TEXTSPLIT(D30,","),1)) &amp;
", ""y"": " &amp; TRIM(INDEX(_xlfn.TEXTSPLIT(D30,","),2)) &amp;
", ""z"": " &amp; C30 &amp; " }"</f>
        <v>{ "x": -500, "y": 650, "z": 1 }</v>
      </c>
      <c r="H30" s="67" t="s">
        <v>240</v>
      </c>
    </row>
    <row r="31" customFormat="false" ht="13.8" hidden="false" customHeight="false" outlineLevel="0" collapsed="false">
      <c r="A31" s="50" t="n">
        <v>2</v>
      </c>
      <c r="B31" s="50" t="s">
        <v>208</v>
      </c>
      <c r="C31" s="50" t="n">
        <v>2</v>
      </c>
      <c r="D31" s="50" t="s">
        <v>241</v>
      </c>
      <c r="E31" s="50" t="n">
        <v>9</v>
      </c>
      <c r="F31" s="50" t="str">
        <f aca="false">"{ ""x"": " &amp; TRIM(INDEX(_xlfn.TEXTSPLIT(D31,","),1)) &amp;
", ""y"": " &amp; TRIM(INDEX(_xlfn.TEXTSPLIT(D31,","),2)) &amp;
", ""z"": " &amp; C31 &amp; " }"</f>
        <v>{ "x": -1050, "y": 450, "z": 2 }</v>
      </c>
      <c r="H31" s="67" t="s">
        <v>242</v>
      </c>
    </row>
    <row r="32" customFormat="false" ht="13.8" hidden="false" customHeight="false" outlineLevel="0" collapsed="false">
      <c r="A32" s="50" t="n">
        <v>2</v>
      </c>
      <c r="B32" s="50" t="s">
        <v>208</v>
      </c>
      <c r="C32" s="50" t="n">
        <v>3</v>
      </c>
      <c r="D32" s="50" t="s">
        <v>243</v>
      </c>
      <c r="E32" s="50" t="n">
        <v>9</v>
      </c>
      <c r="F32" s="50" t="str">
        <f aca="false">"{ ""x"": " &amp; TRIM(INDEX(_xlfn.TEXTSPLIT(D32,","),1)) &amp;
", ""y"": " &amp; TRIM(INDEX(_xlfn.TEXTSPLIT(D32,","),2)) &amp;
", ""z"": " &amp; C32 &amp; " }"</f>
        <v>{ "x": -1175, "y": 125, "z": 3 }</v>
      </c>
      <c r="H32" s="70"/>
    </row>
    <row r="33" customFormat="false" ht="13.8" hidden="false" customHeight="false" outlineLevel="0" collapsed="false">
      <c r="A33" s="50" t="n">
        <v>2</v>
      </c>
      <c r="B33" s="50" t="s">
        <v>208</v>
      </c>
      <c r="C33" s="50" t="n">
        <v>4</v>
      </c>
      <c r="D33" s="50" t="s">
        <v>244</v>
      </c>
      <c r="E33" s="50" t="n">
        <v>9</v>
      </c>
      <c r="F33" s="50" t="str">
        <f aca="false">"{ ""x"": " &amp; TRIM(INDEX(_xlfn.TEXTSPLIT(D33,","),1)) &amp;
", ""y"": " &amp; TRIM(INDEX(_xlfn.TEXTSPLIT(D33,","),2)) &amp;
", ""z"": " &amp; C33 &amp; " }"</f>
        <v>{ "x": -1000, "y": -250, "z": 4 }</v>
      </c>
      <c r="H33" s="71" t="s">
        <v>245</v>
      </c>
    </row>
    <row r="34" customFormat="false" ht="13.8" hidden="false" customHeight="false" outlineLevel="0" collapsed="false">
      <c r="A34" s="50" t="n">
        <v>2</v>
      </c>
      <c r="B34" s="50" t="s">
        <v>208</v>
      </c>
      <c r="C34" s="50" t="n">
        <v>5</v>
      </c>
      <c r="D34" s="50" t="s">
        <v>246</v>
      </c>
      <c r="E34" s="50" t="n">
        <v>9</v>
      </c>
      <c r="F34" s="50" t="str">
        <f aca="false">"{ ""x"": " &amp; TRIM(INDEX(_xlfn.TEXTSPLIT(D34,","),1)) &amp;
", ""y"": " &amp; TRIM(INDEX(_xlfn.TEXTSPLIT(D34,","),2)) &amp;
", ""z"": " &amp; C34 &amp; " }"</f>
        <v>{ "x": -550, "y": -475, "z": 5 }</v>
      </c>
      <c r="H34" s="67" t="s">
        <v>247</v>
      </c>
    </row>
    <row r="35" customFormat="false" ht="23.9" hidden="false" customHeight="false" outlineLevel="0" collapsed="false">
      <c r="A35" s="50" t="n">
        <v>2</v>
      </c>
      <c r="B35" s="50" t="s">
        <v>208</v>
      </c>
      <c r="C35" s="50" t="n">
        <v>6</v>
      </c>
      <c r="D35" s="50" t="s">
        <v>248</v>
      </c>
      <c r="E35" s="50" t="n">
        <v>9</v>
      </c>
      <c r="F35" s="50" t="str">
        <f aca="false">"{ ""x"": " &amp; TRIM(INDEX(_xlfn.TEXTSPLIT(D35,","),1)) &amp;
", ""y"": " &amp; TRIM(INDEX(_xlfn.TEXTSPLIT(D35,","),2)) &amp;
", ""z"": " &amp; C35 &amp; " }"</f>
        <v>{ "x": 75, "y": 675, "z": 6 }</v>
      </c>
      <c r="H35" s="67" t="s">
        <v>249</v>
      </c>
    </row>
    <row r="36" customFormat="false" ht="13.8" hidden="false" customHeight="false" outlineLevel="0" collapsed="false">
      <c r="A36" s="50" t="n">
        <v>2</v>
      </c>
      <c r="B36" s="50" t="s">
        <v>208</v>
      </c>
      <c r="C36" s="50" t="n">
        <v>7</v>
      </c>
      <c r="D36" s="50" t="s">
        <v>250</v>
      </c>
      <c r="E36" s="50" t="n">
        <v>9</v>
      </c>
      <c r="F36" s="50" t="str">
        <f aca="false">"{ ""x"": " &amp; TRIM(INDEX(_xlfn.TEXTSPLIT(D36,","),1)) &amp;
", ""y"": " &amp; TRIM(INDEX(_xlfn.TEXTSPLIT(D36,","),2)) &amp;
", ""z"": " &amp; C36 &amp; " }"</f>
        <v>{ "x": 600, "y": 550, "z": 7 }</v>
      </c>
    </row>
    <row r="37" customFormat="false" ht="13.8" hidden="false" customHeight="false" outlineLevel="0" collapsed="false">
      <c r="A37" s="50" t="n">
        <v>2</v>
      </c>
      <c r="B37" s="50" t="s">
        <v>212</v>
      </c>
      <c r="C37" s="50" t="n">
        <v>1</v>
      </c>
      <c r="D37" s="50" t="s">
        <v>251</v>
      </c>
      <c r="E37" s="50" t="n">
        <v>2</v>
      </c>
      <c r="F37" s="50" t="str">
        <f aca="false">"{ ""x"": " &amp; TRIM(INDEX(_xlfn.TEXTSPLIT(D37,","),1)) &amp;
", ""y"": " &amp; TRIM(INDEX(_xlfn.TEXTSPLIT(D37,","),2)) &amp;
", ""z"": " &amp; C37 &amp; " }"</f>
        <v>{ "x": 0, "y": 0, "z": 1 }</v>
      </c>
    </row>
    <row r="38" customFormat="false" ht="13.8" hidden="false" customHeight="false" outlineLevel="0" collapsed="false">
      <c r="A38" s="50" t="n">
        <v>2</v>
      </c>
      <c r="B38" s="50" t="s">
        <v>212</v>
      </c>
      <c r="C38" s="50" t="n">
        <v>2</v>
      </c>
      <c r="D38" s="50" t="s">
        <v>251</v>
      </c>
      <c r="E38" s="50" t="n">
        <v>2</v>
      </c>
      <c r="F38" s="50" t="str">
        <f aca="false">"{ ""x"": " &amp; TRIM(INDEX(_xlfn.TEXTSPLIT(D38,","),1)) &amp;
", ""y"": " &amp; TRIM(INDEX(_xlfn.TEXTSPLIT(D38,","),2)) &amp;
", ""z"": " &amp; C38 &amp; " }"</f>
        <v>{ "x": 0, "y": 0, "z": 2 }</v>
      </c>
    </row>
    <row r="39" customFormat="false" ht="13.8" hidden="false" customHeight="false" outlineLevel="0" collapsed="false">
      <c r="A39" s="50" t="n">
        <v>2</v>
      </c>
      <c r="B39" s="50" t="s">
        <v>212</v>
      </c>
      <c r="C39" s="50" t="n">
        <v>3</v>
      </c>
      <c r="D39" s="50" t="s">
        <v>251</v>
      </c>
      <c r="E39" s="50" t="n">
        <v>2</v>
      </c>
      <c r="F39" s="50" t="str">
        <f aca="false">"{ ""x"": " &amp; TRIM(INDEX(_xlfn.TEXTSPLIT(D39,","),1)) &amp;
", ""y"": " &amp; TRIM(INDEX(_xlfn.TEXTSPLIT(D39,","),2)) &amp;
", ""z"": " &amp; C39 &amp; " }"</f>
        <v>{ "x": 0, "y": 0, "z": 3 }</v>
      </c>
    </row>
    <row r="40" customFormat="false" ht="13.8" hidden="false" customHeight="false" outlineLevel="0" collapsed="false">
      <c r="A40" s="50" t="n">
        <v>2</v>
      </c>
      <c r="B40" s="50" t="s">
        <v>212</v>
      </c>
      <c r="C40" s="50" t="n">
        <v>4</v>
      </c>
      <c r="D40" s="50" t="s">
        <v>251</v>
      </c>
      <c r="E40" s="50" t="n">
        <v>2</v>
      </c>
      <c r="F40" s="50" t="str">
        <f aca="false">"{ ""x"": " &amp; TRIM(INDEX(_xlfn.TEXTSPLIT(D40,","),1)) &amp;
", ""y"": " &amp; TRIM(INDEX(_xlfn.TEXTSPLIT(D40,","),2)) &amp;
", ""z"": " &amp; C40 &amp; " }"</f>
        <v>{ "x": 0, "y": 0, "z": 4 }</v>
      </c>
    </row>
    <row r="41" customFormat="false" ht="13.8" hidden="false" customHeight="false" outlineLevel="0" collapsed="false">
      <c r="A41" s="50" t="n">
        <v>2</v>
      </c>
      <c r="B41" s="50" t="s">
        <v>212</v>
      </c>
      <c r="C41" s="50" t="n">
        <v>5</v>
      </c>
      <c r="D41" s="50" t="s">
        <v>251</v>
      </c>
      <c r="E41" s="50" t="n">
        <v>2</v>
      </c>
      <c r="F41" s="50" t="str">
        <f aca="false">"{ ""x"": " &amp; TRIM(INDEX(_xlfn.TEXTSPLIT(D41,","),1)) &amp;
", ""y"": " &amp; TRIM(INDEX(_xlfn.TEXTSPLIT(D41,","),2)) &amp;
", ""z"": " &amp; C41 &amp; " }"</f>
        <v>{ "x": 0, "y": 0, "z": 5 }</v>
      </c>
    </row>
    <row r="42" customFormat="false" ht="13.8" hidden="false" customHeight="false" outlineLevel="0" collapsed="false">
      <c r="A42" s="50" t="n">
        <v>2</v>
      </c>
      <c r="B42" s="50" t="s">
        <v>212</v>
      </c>
      <c r="C42" s="50" t="n">
        <v>6</v>
      </c>
      <c r="D42" s="50" t="s">
        <v>251</v>
      </c>
      <c r="E42" s="50" t="n">
        <v>2</v>
      </c>
      <c r="F42" s="50" t="str">
        <f aca="false">"{ ""x"": " &amp; TRIM(INDEX(_xlfn.TEXTSPLIT(D42,","),1)) &amp;
", ""y"": " &amp; TRIM(INDEX(_xlfn.TEXTSPLIT(D42,","),2)) &amp;
", ""z"": " &amp; C42 &amp; " }"</f>
        <v>{ "x": 0, "y": 0, "z": 6 }</v>
      </c>
    </row>
    <row r="43" customFormat="false" ht="13.8" hidden="false" customHeight="false" outlineLevel="0" collapsed="false">
      <c r="A43" s="50" t="n">
        <v>2</v>
      </c>
      <c r="B43" s="50" t="s">
        <v>212</v>
      </c>
      <c r="C43" s="50" t="n">
        <v>7</v>
      </c>
      <c r="D43" s="50" t="s">
        <v>251</v>
      </c>
      <c r="E43" s="50" t="n">
        <v>2</v>
      </c>
      <c r="F43" s="50" t="str">
        <f aca="false">"{ ""x"": " &amp; TRIM(INDEX(_xlfn.TEXTSPLIT(D43,","),1)) &amp;
", ""y"": " &amp; TRIM(INDEX(_xlfn.TEXTSPLIT(D43,","),2)) &amp;
", ""z"": " &amp; C43 &amp; " }"</f>
        <v>{ "x": 0, "y": 0, "z": 7 }</v>
      </c>
    </row>
    <row r="44" customFormat="false" ht="13.8" hidden="false" customHeight="false" outlineLevel="0" collapsed="false">
      <c r="A44" s="50" t="n">
        <v>3</v>
      </c>
      <c r="B44" s="50" t="s">
        <v>208</v>
      </c>
      <c r="C44" s="50" t="n">
        <v>0</v>
      </c>
      <c r="D44" s="50" t="s">
        <v>252</v>
      </c>
      <c r="E44" s="50" t="n">
        <v>4</v>
      </c>
      <c r="F44" s="50" t="str">
        <f aca="false">"{ ""x"": " &amp; TRIM(INDEX(_xlfn.TEXTSPLIT(D44,","),1)) &amp;
", ""y"": " &amp; TRIM(INDEX(_xlfn.TEXTSPLIT(D44,","),2)) &amp;
", ""z"": " &amp; C44 &amp; " }"</f>
        <v>{ "x": 575, "y": 25, "z": 0 }</v>
      </c>
    </row>
    <row r="45" customFormat="false" ht="13.8" hidden="false" customHeight="false" outlineLevel="0" collapsed="false">
      <c r="A45" s="50" t="n">
        <v>3</v>
      </c>
      <c r="B45" s="50" t="s">
        <v>208</v>
      </c>
      <c r="C45" s="50" t="n">
        <v>0</v>
      </c>
      <c r="D45" s="50" t="s">
        <v>253</v>
      </c>
      <c r="E45" s="50" t="n">
        <v>4</v>
      </c>
      <c r="F45" s="50" t="str">
        <f aca="false">"{ ""x"": " &amp; TRIM(INDEX(_xlfn.TEXTSPLIT(D45,","),1)) &amp;
", ""y"": " &amp; TRIM(INDEX(_xlfn.TEXTSPLIT(D45,","),2)) &amp;
", ""z"": " &amp; C45 &amp; " }"</f>
        <v>{ "x": 575, "y": -300, "z": 0 }</v>
      </c>
    </row>
    <row r="46" customFormat="false" ht="13.8" hidden="false" customHeight="false" outlineLevel="0" collapsed="false">
      <c r="A46" s="50" t="n">
        <v>3</v>
      </c>
      <c r="B46" s="50" t="s">
        <v>208</v>
      </c>
      <c r="C46" s="50" t="n">
        <v>0</v>
      </c>
      <c r="D46" s="50" t="s">
        <v>254</v>
      </c>
      <c r="E46" s="50" t="n">
        <v>4</v>
      </c>
      <c r="F46" s="50" t="str">
        <f aca="false">"{ ""x"": " &amp; TRIM(INDEX(_xlfn.TEXTSPLIT(D46,","),1)) &amp;
", ""y"": " &amp; TRIM(INDEX(_xlfn.TEXTSPLIT(D46,","),2)) &amp;
", ""z"": " &amp; C46 &amp; " }"</f>
        <v>{ "x": 225, "y": -300, "z": 0 }</v>
      </c>
    </row>
    <row r="47" customFormat="false" ht="13.8" hidden="false" customHeight="false" outlineLevel="0" collapsed="false">
      <c r="A47" s="50" t="n">
        <v>3</v>
      </c>
      <c r="B47" s="50" t="s">
        <v>225</v>
      </c>
      <c r="C47" s="50" t="n">
        <v>0</v>
      </c>
      <c r="D47" s="50" t="s">
        <v>255</v>
      </c>
      <c r="E47" s="50" t="n">
        <v>100</v>
      </c>
      <c r="F47" s="50" t="str">
        <f aca="false">"{ ""x"": " &amp; TRIM(INDEX(_xlfn.TEXTSPLIT(D47,","),1)) &amp;
", ""y"": " &amp; TRIM(INDEX(_xlfn.TEXTSPLIT(D47,","),2)) &amp;
", ""z"": " &amp; C47 &amp; " }"</f>
        <v>{ "x": 0.8, "y": 0.8, "z": 0 }</v>
      </c>
    </row>
    <row r="48" customFormat="false" ht="13.8" hidden="false" customHeight="false" outlineLevel="0" collapsed="false">
      <c r="A48" s="50" t="n">
        <v>4</v>
      </c>
      <c r="B48" s="50" t="s">
        <v>225</v>
      </c>
      <c r="C48" s="50" t="n">
        <v>0</v>
      </c>
      <c r="D48" s="50" t="s">
        <v>255</v>
      </c>
      <c r="E48" s="50" t="n">
        <v>100</v>
      </c>
      <c r="F48" s="50" t="str">
        <f aca="false">"{ ""x"": " &amp; TRIM(INDEX(_xlfn.TEXTSPLIT(D48,","),1)) &amp;
", ""y"": " &amp; TRIM(INDEX(_xlfn.TEXTSPLIT(D48,","),2)) &amp;
", ""z"": " &amp; C48 &amp; " }"</f>
        <v>{ "x": 0.8, "y": 0.8, "z": 0 }</v>
      </c>
    </row>
    <row r="49" customFormat="false" ht="13.8" hidden="false" customHeight="false" outlineLevel="0" collapsed="false">
      <c r="A49" s="46" t="s">
        <v>113</v>
      </c>
      <c r="B49" s="46"/>
      <c r="C49" s="46"/>
      <c r="D49" s="46"/>
      <c r="E49" s="46"/>
      <c r="F49" s="46"/>
    </row>
    <row r="54" customFormat="false" ht="13.8" hidden="false" customHeight="false" outlineLevel="0" collapsed="false">
      <c r="A54" s="59" t="s">
        <v>114</v>
      </c>
    </row>
    <row r="55" customFormat="false" ht="13.8" hidden="false" customHeight="false" outlineLevel="0" collapsed="false">
      <c r="A55" s="44" t="s">
        <v>137</v>
      </c>
    </row>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Roman,標準"&amp;12&amp;Kffffff&amp;A</oddHeader>
    <oddFooter>&amp;C&amp;"Times New Roman,標準"&amp;12&amp;Kffffffページ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3:T30"/>
  <sheetViews>
    <sheetView showFormulas="false" showGridLines="true" showRowColHeaders="true" showZeros="true" rightToLeft="false" tabSelected="false" showOutlineSymbols="true" defaultGridColor="true" view="normal" topLeftCell="F16" colorId="64" zoomScale="100" zoomScaleNormal="100" zoomScalePageLayoutView="100" workbookViewId="0">
      <selection pane="topLeft" activeCell="P10" activeCellId="0" sqref="P10"/>
    </sheetView>
  </sheetViews>
  <sheetFormatPr defaultColWidth="8.2734375" defaultRowHeight="13.8"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5" min="5" style="44" width="49.55"/>
    <col collapsed="false" customWidth="true" hidden="false" outlineLevel="0" max="6" min="6" style="44" width="10.88"/>
    <col collapsed="false" customWidth="true" hidden="false" outlineLevel="0" max="7" min="7" style="44" width="11.18"/>
    <col collapsed="false" customWidth="true" hidden="false" outlineLevel="0" max="8" min="8" style="66" width="10.36"/>
    <col collapsed="false" customWidth="true" hidden="false" outlineLevel="0" max="9" min="9" style="44" width="14.36"/>
    <col collapsed="false" customWidth="true" hidden="false" outlineLevel="0" max="11" min="10" style="44" width="9.45"/>
    <col collapsed="false" customWidth="true" hidden="false" outlineLevel="0" max="12" min="12" style="44" width="24.18"/>
    <col collapsed="false" customWidth="true" hidden="false" outlineLevel="0" max="13" min="13" style="44" width="7.82"/>
    <col collapsed="false" customWidth="true" hidden="false" outlineLevel="0" max="14" min="14" style="44" width="7.27"/>
    <col collapsed="false" customWidth="true" hidden="false" outlineLevel="0" max="15" min="15" style="44" width="18.27"/>
    <col collapsed="false" customWidth="true" hidden="false" outlineLevel="0" max="16" min="16" style="66" width="13"/>
    <col collapsed="false" customWidth="true" hidden="false" outlineLevel="0" max="18" min="17" style="44" width="12.91"/>
    <col collapsed="false" customWidth="true" hidden="false" outlineLevel="0" max="20" min="19" style="66" width="12.91"/>
    <col collapsed="false" customWidth="true" hidden="false" outlineLevel="0" max="21" min="21" style="66" width="16.36"/>
  </cols>
  <sheetData>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c r="S3" s="46"/>
      <c r="T3" s="46"/>
    </row>
    <row r="4" customFormat="false" ht="13.8" hidden="false" customHeight="false" outlineLevel="0" collapsed="false">
      <c r="A4" s="47" t="s">
        <v>16</v>
      </c>
      <c r="B4" s="47" t="s">
        <v>159</v>
      </c>
      <c r="C4" s="47" t="s">
        <v>256</v>
      </c>
      <c r="D4" s="47" t="s">
        <v>160</v>
      </c>
      <c r="E4" s="47" t="s">
        <v>257</v>
      </c>
      <c r="F4" s="47" t="s">
        <v>258</v>
      </c>
      <c r="G4" s="72" t="s">
        <v>259</v>
      </c>
      <c r="H4" s="73" t="s">
        <v>260</v>
      </c>
      <c r="I4" s="74" t="s">
        <v>261</v>
      </c>
      <c r="J4" s="74" t="s">
        <v>262</v>
      </c>
      <c r="K4" s="74" t="s">
        <v>262</v>
      </c>
      <c r="L4" s="74" t="s">
        <v>24</v>
      </c>
      <c r="M4" s="47" t="s">
        <v>263</v>
      </c>
      <c r="N4" s="47" t="s">
        <v>264</v>
      </c>
      <c r="O4" s="74" t="s">
        <v>265</v>
      </c>
      <c r="P4" s="74" t="s">
        <v>266</v>
      </c>
      <c r="Q4" s="61" t="s">
        <v>24</v>
      </c>
      <c r="R4" s="61" t="s">
        <v>261</v>
      </c>
      <c r="S4" s="61" t="s">
        <v>265</v>
      </c>
      <c r="T4" s="61" t="s">
        <v>266</v>
      </c>
    </row>
    <row r="5" customFormat="false" ht="13.8" hidden="false" customHeight="false" outlineLevel="0" collapsed="false">
      <c r="A5" s="49" t="s">
        <v>162</v>
      </c>
      <c r="B5" s="49" t="s">
        <v>163</v>
      </c>
      <c r="C5" s="49" t="s">
        <v>267</v>
      </c>
      <c r="D5" s="49" t="s">
        <v>164</v>
      </c>
      <c r="E5" s="49" t="s">
        <v>268</v>
      </c>
      <c r="F5" s="49" t="s">
        <v>269</v>
      </c>
      <c r="G5" s="49"/>
      <c r="H5" s="49" t="s">
        <v>270</v>
      </c>
      <c r="I5" s="49"/>
      <c r="J5" s="49"/>
      <c r="K5" s="49"/>
      <c r="L5" s="49"/>
      <c r="M5" s="49" t="s">
        <v>271</v>
      </c>
      <c r="N5" s="49" t="s">
        <v>134</v>
      </c>
      <c r="O5" s="49"/>
      <c r="P5" s="49"/>
      <c r="Q5" s="49" t="s">
        <v>272</v>
      </c>
      <c r="R5" s="49" t="s">
        <v>273</v>
      </c>
      <c r="S5" s="49" t="s">
        <v>274</v>
      </c>
      <c r="T5" s="49" t="s">
        <v>275</v>
      </c>
    </row>
    <row r="6" customFormat="false" ht="31.15" hidden="false" customHeight="false" outlineLevel="0" collapsed="false">
      <c r="A6" s="50" t="n">
        <v>1</v>
      </c>
      <c r="B6" s="50" t="n">
        <v>1</v>
      </c>
      <c r="C6" s="75" t="s">
        <v>276</v>
      </c>
      <c r="D6" s="76" t="s">
        <v>277</v>
      </c>
      <c r="E6" s="76" t="s">
        <v>278</v>
      </c>
      <c r="F6" s="50" t="s">
        <v>136</v>
      </c>
      <c r="G6" s="50" t="s">
        <v>279</v>
      </c>
      <c r="H6" s="50" t="n">
        <f aca="true">OFFSET(依頼主!$A$1,MATCH(G6,依頼主!B:B,0)-1,0)</f>
        <v>12</v>
      </c>
      <c r="I6" s="50" t="s">
        <v>124</v>
      </c>
      <c r="J6" s="50"/>
      <c r="K6" s="50"/>
      <c r="L6" s="50" t="s">
        <v>280</v>
      </c>
      <c r="M6" s="50" t="n">
        <v>1</v>
      </c>
      <c r="N6" s="50" t="s">
        <v>136</v>
      </c>
      <c r="O6" s="50" t="s">
        <v>281</v>
      </c>
      <c r="P6" s="50" t="s">
        <v>281</v>
      </c>
      <c r="Q6" s="50" t="n">
        <f aca="true">OFFSET(依頼種別!$A$1, MATCH(L6,依頼種別!B:B,0)-1,0)</f>
        <v>9</v>
      </c>
      <c r="R6" s="77" t="str">
        <f aca="false">"[" &amp; _xlfn.TEXTJOIN(",", 1, IFERROR(INDEX(ノード!A:A, MATCH(I6, ノード!B:B, 0)), ""), IFERROR(INDEX(ノード!A:A, MATCH(J6, ノード!B:B, 0)), ""), IFERROR(INDEX(ノード!A:A, MATCH(K6, ノード!B:B, 0)), "") ) &amp; "]"</f>
        <v>[3]</v>
      </c>
      <c r="S6" s="50" t="n">
        <f aca="false">_xlfn.XLOOKUP(O6, 'バフ、デバフ'!B:B, 'バフ、デバフ'!A:A, "")</f>
        <v>1</v>
      </c>
      <c r="T6" s="50" t="n">
        <f aca="false">_xlfn.XLOOKUP(P6, 'バフ、デバフ'!B:B, 'バフ、デバフ'!A:A, "")</f>
        <v>1</v>
      </c>
    </row>
    <row r="7" customFormat="false" ht="31.15" hidden="false" customHeight="false" outlineLevel="0" collapsed="false">
      <c r="A7" s="50" t="n">
        <v>1</v>
      </c>
      <c r="B7" s="50" t="n">
        <v>1</v>
      </c>
      <c r="C7" s="75" t="s">
        <v>282</v>
      </c>
      <c r="D7" s="76" t="s">
        <v>283</v>
      </c>
      <c r="E7" s="76" t="s">
        <v>284</v>
      </c>
      <c r="F7" s="50" t="s">
        <v>136</v>
      </c>
      <c r="G7" s="50" t="s">
        <v>285</v>
      </c>
      <c r="H7" s="50" t="n">
        <f aca="true">OFFSET(依頼主!$A$1,MATCH(G7,依頼主!B:B,0)-1,0)</f>
        <v>3</v>
      </c>
      <c r="I7" s="50" t="s">
        <v>125</v>
      </c>
      <c r="J7" s="50"/>
      <c r="K7" s="50"/>
      <c r="L7" s="50" t="s">
        <v>280</v>
      </c>
      <c r="M7" s="50" t="n">
        <v>1</v>
      </c>
      <c r="N7" s="50" t="s">
        <v>136</v>
      </c>
      <c r="O7" s="50" t="s">
        <v>281</v>
      </c>
      <c r="P7" s="50" t="s">
        <v>281</v>
      </c>
      <c r="Q7" s="50" t="n">
        <f aca="true">OFFSET(依頼種別!$A$1, MATCH(L7,依頼種別!B:B,0)-1,0)</f>
        <v>9</v>
      </c>
      <c r="R7" s="77" t="str">
        <f aca="false">"[" &amp; _xlfn.TEXTJOIN(",", 1, IFERROR(INDEX(ノード!A:A, MATCH(I7, ノード!B:B, 0)), ""), IFERROR(INDEX(ノード!A:A, MATCH(J7, ノード!B:B, 0)), ""), IFERROR(INDEX(ノード!A:A, MATCH(K7, ノード!B:B, 0)), "") ) &amp; "]"</f>
        <v>[4]</v>
      </c>
      <c r="S7" s="50" t="n">
        <f aca="false">_xlfn.XLOOKUP(O7, 'バフ、デバフ'!B:B, 'バフ、デバフ'!A:A, "")</f>
        <v>1</v>
      </c>
      <c r="T7" s="50" t="n">
        <f aca="false">_xlfn.XLOOKUP(P7, 'バフ、デバフ'!B:B, 'バフ、デバフ'!A:A, "")</f>
        <v>1</v>
      </c>
    </row>
    <row r="8" customFormat="false" ht="31.15" hidden="false" customHeight="false" outlineLevel="0" collapsed="false">
      <c r="A8" s="50" t="n">
        <v>1</v>
      </c>
      <c r="B8" s="50" t="n">
        <v>2</v>
      </c>
      <c r="C8" s="75" t="s">
        <v>286</v>
      </c>
      <c r="D8" s="76" t="s">
        <v>287</v>
      </c>
      <c r="E8" s="76" t="s">
        <v>288</v>
      </c>
      <c r="F8" s="50" t="s">
        <v>136</v>
      </c>
      <c r="G8" s="50" t="s">
        <v>289</v>
      </c>
      <c r="H8" s="50" t="n">
        <f aca="true">OFFSET(依頼主!$A$1,MATCH(G8,依頼主!B:B,0)-1,0)</f>
        <v>8</v>
      </c>
      <c r="I8" s="50" t="s">
        <v>125</v>
      </c>
      <c r="J8" s="50"/>
      <c r="K8" s="50"/>
      <c r="L8" s="50" t="s">
        <v>280</v>
      </c>
      <c r="M8" s="50" t="n">
        <v>12</v>
      </c>
      <c r="N8" s="50" t="s">
        <v>136</v>
      </c>
      <c r="O8" s="50" t="s">
        <v>290</v>
      </c>
      <c r="P8" s="50" t="s">
        <v>281</v>
      </c>
      <c r="Q8" s="50" t="n">
        <f aca="true">OFFSET(依頼種別!$A$1, MATCH(L8,依頼種別!B:B,0)-1,0)</f>
        <v>9</v>
      </c>
      <c r="R8" s="77" t="str">
        <f aca="false">"[" &amp; _xlfn.TEXTJOIN(",", 1, IFERROR(INDEX(ノード!A:A, MATCH(I8, ノード!B:B, 0)), ""), IFERROR(INDEX(ノード!A:A, MATCH(J8, ノード!B:B, 0)), ""), IFERROR(INDEX(ノード!A:A, MATCH(K8, ノード!B:B, 0)), "") ) &amp; "]"</f>
        <v>[4]</v>
      </c>
      <c r="S8" s="50" t="n">
        <f aca="false">_xlfn.XLOOKUP(O8, 'バフ、デバフ'!B:B, 'バフ、デバフ'!A:A, "")</f>
        <v>3</v>
      </c>
      <c r="T8" s="50" t="n">
        <f aca="false">_xlfn.XLOOKUP(P8, 'バフ、デバフ'!B:B, 'バフ、デバフ'!A:A, "")</f>
        <v>1</v>
      </c>
    </row>
    <row r="9" customFormat="false" ht="31.15" hidden="false" customHeight="false" outlineLevel="0" collapsed="false">
      <c r="A9" s="50" t="n">
        <v>1</v>
      </c>
      <c r="B9" s="50" t="n">
        <v>2</v>
      </c>
      <c r="C9" s="75" t="s">
        <v>291</v>
      </c>
      <c r="D9" s="76" t="s">
        <v>292</v>
      </c>
      <c r="E9" s="76" t="s">
        <v>293</v>
      </c>
      <c r="F9" s="50" t="s">
        <v>136</v>
      </c>
      <c r="G9" s="50" t="s">
        <v>279</v>
      </c>
      <c r="H9" s="50" t="n">
        <f aca="true">OFFSET(依頼主!$A$1,MATCH(G9,依頼主!B:B,0)-1,0)</f>
        <v>12</v>
      </c>
      <c r="I9" s="50" t="s">
        <v>124</v>
      </c>
      <c r="J9" s="50"/>
      <c r="K9" s="50"/>
      <c r="L9" s="50" t="s">
        <v>294</v>
      </c>
      <c r="M9" s="50" t="n">
        <v>1</v>
      </c>
      <c r="N9" s="50" t="n">
        <v>2</v>
      </c>
      <c r="O9" s="50" t="s">
        <v>295</v>
      </c>
      <c r="P9" s="50" t="s">
        <v>281</v>
      </c>
      <c r="Q9" s="50" t="n">
        <f aca="true">OFFSET(依頼種別!$A$1, MATCH(L9,依頼種別!B:B,0)-1,0)</f>
        <v>4</v>
      </c>
      <c r="R9" s="77" t="str">
        <f aca="false">"[" &amp; _xlfn.TEXTJOIN(",", 1, IFERROR(INDEX(ノード!A:A, MATCH(I9, ノード!B:B, 0)), ""), IFERROR(INDEX(ノード!A:A, MATCH(J9, ノード!B:B, 0)), ""), IFERROR(INDEX(ノード!A:A, MATCH(K9, ノード!B:B, 0)), "") ) &amp; "]"</f>
        <v>[3]</v>
      </c>
      <c r="S9" s="50" t="n">
        <f aca="false">_xlfn.XLOOKUP(O9, 'バフ、デバフ'!B:B, 'バフ、デバフ'!A:A, "")</f>
        <v>7</v>
      </c>
      <c r="T9" s="50" t="n">
        <f aca="false">_xlfn.XLOOKUP(P9, 'バフ、デバフ'!B:B, 'バフ、デバフ'!A:A, "")</f>
        <v>1</v>
      </c>
    </row>
    <row r="10" customFormat="false" ht="41" hidden="false" customHeight="false" outlineLevel="0" collapsed="false">
      <c r="A10" s="50" t="n">
        <v>1</v>
      </c>
      <c r="B10" s="50" t="n">
        <v>2</v>
      </c>
      <c r="C10" s="75" t="s">
        <v>296</v>
      </c>
      <c r="D10" s="76" t="s">
        <v>297</v>
      </c>
      <c r="E10" s="76" t="s">
        <v>298</v>
      </c>
      <c r="F10" s="50" t="s">
        <v>136</v>
      </c>
      <c r="G10" s="50" t="s">
        <v>299</v>
      </c>
      <c r="H10" s="50" t="n">
        <f aca="true">OFFSET(依頼主!$A$1,MATCH(G10,依頼主!B:B,0)-1,0)</f>
        <v>6</v>
      </c>
      <c r="I10" s="50" t="s">
        <v>130</v>
      </c>
      <c r="J10" s="50"/>
      <c r="K10" s="50"/>
      <c r="L10" s="50" t="s">
        <v>300</v>
      </c>
      <c r="M10" s="50" t="n">
        <v>0</v>
      </c>
      <c r="N10" s="50" t="s">
        <v>136</v>
      </c>
      <c r="O10" s="50" t="s">
        <v>301</v>
      </c>
      <c r="P10" s="50" t="s">
        <v>281</v>
      </c>
      <c r="Q10" s="50" t="n">
        <f aca="true">OFFSET(依頼種別!$A$1, MATCH(L10,依頼種別!B:B,0)-1,0)</f>
        <v>8</v>
      </c>
      <c r="R10" s="77" t="str">
        <f aca="false">"[" &amp; _xlfn.TEXTJOIN(",", 1, IFERROR(INDEX(ノード!A:A, MATCH(I10, ノード!B:B, 0)), ""), IFERROR(INDEX(ノード!A:A, MATCH(J10, ノード!B:B, 0)), ""), IFERROR(INDEX(ノード!A:A, MATCH(K10, ノード!B:B, 0)), "") ) &amp; "]"</f>
        <v>[9]</v>
      </c>
      <c r="S10" s="50" t="n">
        <f aca="false">_xlfn.XLOOKUP(O10, 'バフ、デバフ'!B:B, 'バフ、デバフ'!A:A, "")</f>
        <v>5</v>
      </c>
      <c r="T10" s="50" t="n">
        <f aca="false">_xlfn.XLOOKUP(P10, 'バフ、デバフ'!B:B, 'バフ、デバフ'!A:A, "")</f>
        <v>1</v>
      </c>
    </row>
    <row r="11" customFormat="false" ht="41" hidden="false" customHeight="false" outlineLevel="0" collapsed="false">
      <c r="A11" s="50" t="n">
        <v>1</v>
      </c>
      <c r="B11" s="50" t="n">
        <v>3</v>
      </c>
      <c r="C11" s="75" t="s">
        <v>302</v>
      </c>
      <c r="D11" s="76" t="s">
        <v>303</v>
      </c>
      <c r="E11" s="76" t="s">
        <v>304</v>
      </c>
      <c r="F11" s="50" t="s">
        <v>136</v>
      </c>
      <c r="G11" s="50" t="s">
        <v>305</v>
      </c>
      <c r="H11" s="50" t="n">
        <f aca="true">OFFSET(依頼主!$A$1,MATCH(G11,依頼主!B:B,0)-1,0)</f>
        <v>9</v>
      </c>
      <c r="I11" s="50" t="s">
        <v>125</v>
      </c>
      <c r="J11" s="50"/>
      <c r="K11" s="50"/>
      <c r="L11" s="50" t="s">
        <v>294</v>
      </c>
      <c r="M11" s="50" t="n">
        <v>4</v>
      </c>
      <c r="N11" s="50" t="n">
        <v>2</v>
      </c>
      <c r="O11" s="50" t="s">
        <v>281</v>
      </c>
      <c r="P11" s="50" t="s">
        <v>281</v>
      </c>
      <c r="Q11" s="50" t="n">
        <f aca="true">OFFSET(依頼種別!$A$1, MATCH(L11,依頼種別!B:B,0)-1,0)</f>
        <v>4</v>
      </c>
      <c r="R11" s="77" t="str">
        <f aca="false">"[" &amp; _xlfn.TEXTJOIN(",", 1, IFERROR(INDEX(ノード!A:A, MATCH(I11, ノード!B:B, 0)), ""), IFERROR(INDEX(ノード!A:A, MATCH(J11, ノード!B:B, 0)), ""), IFERROR(INDEX(ノード!A:A, MATCH(K11, ノード!B:B, 0)), "") ) &amp; "]"</f>
        <v>[4]</v>
      </c>
      <c r="S11" s="50" t="n">
        <f aca="false">_xlfn.XLOOKUP(O11, 'バフ、デバフ'!B:B, 'バフ、デバフ'!A:A, "")</f>
        <v>1</v>
      </c>
      <c r="T11" s="50" t="n">
        <f aca="false">_xlfn.XLOOKUP(P11, 'バフ、デバフ'!B:B, 'バフ、デバフ'!A:A, "")</f>
        <v>1</v>
      </c>
    </row>
    <row r="12" customFormat="false" ht="41" hidden="false" customHeight="false" outlineLevel="0" collapsed="false">
      <c r="A12" s="50" t="n">
        <v>1</v>
      </c>
      <c r="B12" s="50" t="n">
        <v>3</v>
      </c>
      <c r="C12" s="75" t="s">
        <v>306</v>
      </c>
      <c r="D12" s="76" t="s">
        <v>307</v>
      </c>
      <c r="E12" s="76" t="s">
        <v>308</v>
      </c>
      <c r="F12" s="50" t="s">
        <v>136</v>
      </c>
      <c r="G12" s="50" t="s">
        <v>279</v>
      </c>
      <c r="H12" s="50" t="n">
        <f aca="true">OFFSET(依頼主!$A$1,MATCH(G12,依頼主!B:B,0)-1,0)</f>
        <v>12</v>
      </c>
      <c r="I12" s="50" t="s">
        <v>124</v>
      </c>
      <c r="J12" s="50"/>
      <c r="K12" s="50"/>
      <c r="L12" s="50" t="s">
        <v>294</v>
      </c>
      <c r="M12" s="50" t="n">
        <v>2</v>
      </c>
      <c r="N12" s="50" t="n">
        <v>3</v>
      </c>
      <c r="O12" s="50" t="s">
        <v>281</v>
      </c>
      <c r="P12" s="50" t="s">
        <v>281</v>
      </c>
      <c r="Q12" s="50" t="n">
        <f aca="true">OFFSET(依頼種別!$A$1, MATCH(L12,依頼種別!B:B,0)-1,0)</f>
        <v>4</v>
      </c>
      <c r="R12" s="77" t="str">
        <f aca="false">"[" &amp; _xlfn.TEXTJOIN(",", 1, IFERROR(INDEX(ノード!A:A, MATCH(I12, ノード!B:B, 0)), ""), IFERROR(INDEX(ノード!A:A, MATCH(J12, ノード!B:B, 0)), ""), IFERROR(INDEX(ノード!A:A, MATCH(K12, ノード!B:B, 0)), "") ) &amp; "]"</f>
        <v>[3]</v>
      </c>
      <c r="S12" s="50" t="n">
        <f aca="false">_xlfn.XLOOKUP(O12, 'バフ、デバフ'!B:B, 'バフ、デバフ'!A:A, "")</f>
        <v>1</v>
      </c>
      <c r="T12" s="50" t="n">
        <f aca="false">_xlfn.XLOOKUP(P12, 'バフ、デバフ'!B:B, 'バフ、デバフ'!A:A, "")</f>
        <v>1</v>
      </c>
    </row>
    <row r="13" customFormat="false" ht="31.15" hidden="false" customHeight="false" outlineLevel="0" collapsed="false">
      <c r="A13" s="50" t="n">
        <v>1</v>
      </c>
      <c r="B13" s="50" t="n">
        <v>3</v>
      </c>
      <c r="C13" s="50" t="s">
        <v>309</v>
      </c>
      <c r="D13" s="76" t="s">
        <v>310</v>
      </c>
      <c r="E13" s="76" t="s">
        <v>311</v>
      </c>
      <c r="F13" s="50" t="s">
        <v>136</v>
      </c>
      <c r="G13" s="50" t="s">
        <v>312</v>
      </c>
      <c r="H13" s="50" t="n">
        <f aca="true">OFFSET(依頼主!$A$1,MATCH(G13,依頼主!B:B,0)-1,0)</f>
        <v>1</v>
      </c>
      <c r="I13" s="50" t="s">
        <v>122</v>
      </c>
      <c r="J13" s="50" t="s">
        <v>123</v>
      </c>
      <c r="K13" s="50"/>
      <c r="L13" s="50" t="s">
        <v>280</v>
      </c>
      <c r="M13" s="50" t="n">
        <v>20</v>
      </c>
      <c r="N13" s="50" t="s">
        <v>136</v>
      </c>
      <c r="O13" s="50" t="s">
        <v>281</v>
      </c>
      <c r="P13" s="50" t="s">
        <v>281</v>
      </c>
      <c r="Q13" s="50" t="n">
        <f aca="true">OFFSET(依頼種別!$A$1, MATCH(L13,依頼種別!B:B,0)-1,0)</f>
        <v>9</v>
      </c>
      <c r="R13" s="77" t="str">
        <f aca="false">"[" &amp; _xlfn.TEXTJOIN(",", 1, IFERROR(INDEX(ノード!A:A, MATCH(I13, ノード!B:B, 0)), ""), IFERROR(INDEX(ノード!A:A, MATCH(J13, ノード!B:B, 0)), ""), IFERROR(INDEX(ノード!A:A, MATCH(K13, ノード!B:B, 0)), "") ) &amp; "]"</f>
        <v>[1,2]</v>
      </c>
      <c r="S13" s="50" t="n">
        <f aca="false">_xlfn.XLOOKUP(O13, 'バフ、デバフ'!B:B, 'バフ、デバフ'!A:A, "")</f>
        <v>1</v>
      </c>
      <c r="T13" s="50" t="n">
        <f aca="false">_xlfn.XLOOKUP(P13, 'バフ、デバフ'!B:B, 'バフ、デバフ'!A:A, "")</f>
        <v>1</v>
      </c>
    </row>
    <row r="14" customFormat="false" ht="41" hidden="false" customHeight="false" outlineLevel="0" collapsed="false">
      <c r="A14" s="50" t="n">
        <v>1</v>
      </c>
      <c r="B14" s="50" t="n">
        <v>4</v>
      </c>
      <c r="C14" s="75" t="s">
        <v>313</v>
      </c>
      <c r="D14" s="76" t="s">
        <v>314</v>
      </c>
      <c r="E14" s="76" t="s">
        <v>315</v>
      </c>
      <c r="F14" s="50" t="s">
        <v>136</v>
      </c>
      <c r="G14" s="50" t="s">
        <v>289</v>
      </c>
      <c r="H14" s="50" t="n">
        <f aca="true">OFFSET(依頼主!$A$1,MATCH(G14,依頼主!B:B,0)-1,0)</f>
        <v>8</v>
      </c>
      <c r="I14" s="50" t="s">
        <v>127</v>
      </c>
      <c r="J14" s="50"/>
      <c r="K14" s="50"/>
      <c r="L14" s="50" t="s">
        <v>294</v>
      </c>
      <c r="M14" s="50" t="n">
        <v>3</v>
      </c>
      <c r="N14" s="50" t="n">
        <v>3</v>
      </c>
      <c r="O14" s="50" t="s">
        <v>301</v>
      </c>
      <c r="P14" s="50" t="s">
        <v>281</v>
      </c>
      <c r="Q14" s="50" t="n">
        <f aca="true">OFFSET(依頼種別!$A$1, MATCH(L14,依頼種別!B:B,0)-1,0)</f>
        <v>4</v>
      </c>
      <c r="R14" s="77" t="str">
        <f aca="false">"[" &amp; _xlfn.TEXTJOIN(",", 1, IFERROR(INDEX(ノード!A:A, MATCH(I14, ノード!B:B, 0)), ""), IFERROR(INDEX(ノード!A:A, MATCH(J14, ノード!B:B, 0)), ""), IFERROR(INDEX(ノード!A:A, MATCH(K14, ノード!B:B, 0)), "") ) &amp; "]"</f>
        <v>[6]</v>
      </c>
      <c r="S14" s="50" t="n">
        <f aca="false">_xlfn.XLOOKUP(O14, 'バフ、デバフ'!B:B, 'バフ、デバフ'!A:A, "")</f>
        <v>5</v>
      </c>
      <c r="T14" s="50" t="n">
        <f aca="false">_xlfn.XLOOKUP(P14, 'バフ、デバフ'!B:B, 'バフ、デバフ'!A:A, "")</f>
        <v>1</v>
      </c>
    </row>
    <row r="15" customFormat="false" ht="31.15" hidden="false" customHeight="false" outlineLevel="0" collapsed="false">
      <c r="A15" s="50" t="n">
        <v>1</v>
      </c>
      <c r="B15" s="50" t="n">
        <v>4</v>
      </c>
      <c r="C15" s="75" t="s">
        <v>316</v>
      </c>
      <c r="D15" s="76" t="s">
        <v>317</v>
      </c>
      <c r="E15" s="76" t="s">
        <v>318</v>
      </c>
      <c r="F15" s="50" t="s">
        <v>136</v>
      </c>
      <c r="G15" s="50" t="s">
        <v>279</v>
      </c>
      <c r="H15" s="50" t="n">
        <f aca="true">OFFSET(依頼主!$A$1,MATCH(G15,依頼主!B:B,0)-1,0)</f>
        <v>12</v>
      </c>
      <c r="I15" s="50" t="s">
        <v>124</v>
      </c>
      <c r="J15" s="50"/>
      <c r="K15" s="50"/>
      <c r="L15" s="50" t="s">
        <v>294</v>
      </c>
      <c r="M15" s="50" t="n">
        <v>2</v>
      </c>
      <c r="N15" s="50" t="n">
        <v>4</v>
      </c>
      <c r="O15" s="50" t="s">
        <v>319</v>
      </c>
      <c r="P15" s="50" t="s">
        <v>281</v>
      </c>
      <c r="Q15" s="50" t="n">
        <f aca="true">OFFSET(依頼種別!$A$1, MATCH(L15,依頼種別!B:B,0)-1,0)</f>
        <v>4</v>
      </c>
      <c r="R15" s="77" t="str">
        <f aca="false">"[" &amp; _xlfn.TEXTJOIN(",", 1, IFERROR(INDEX(ノード!A:A, MATCH(I15, ノード!B:B, 0)), ""), IFERROR(INDEX(ノード!A:A, MATCH(J15, ノード!B:B, 0)), ""), IFERROR(INDEX(ノード!A:A, MATCH(K15, ノード!B:B, 0)), "") ) &amp; "]"</f>
        <v>[3]</v>
      </c>
      <c r="S15" s="50" t="n">
        <f aca="false">_xlfn.XLOOKUP(O15, 'バフ、デバフ'!B:B, 'バフ、デバフ'!A:A, "")</f>
        <v>6</v>
      </c>
      <c r="T15" s="50" t="n">
        <f aca="false">_xlfn.XLOOKUP(P15, 'バフ、デバフ'!B:B, 'バフ、デバフ'!A:A, "")</f>
        <v>1</v>
      </c>
    </row>
    <row r="16" customFormat="false" ht="41" hidden="false" customHeight="false" outlineLevel="0" collapsed="false">
      <c r="A16" s="50" t="n">
        <v>1</v>
      </c>
      <c r="B16" s="50" t="n">
        <v>5</v>
      </c>
      <c r="C16" s="75" t="s">
        <v>320</v>
      </c>
      <c r="D16" s="76" t="s">
        <v>321</v>
      </c>
      <c r="E16" s="76" t="s">
        <v>322</v>
      </c>
      <c r="F16" s="50" t="s">
        <v>136</v>
      </c>
      <c r="G16" s="50" t="s">
        <v>299</v>
      </c>
      <c r="H16" s="50" t="n">
        <f aca="true">OFFSET(依頼主!$A$1,MATCH(G16,依頼主!B:B,0)-1,0)</f>
        <v>6</v>
      </c>
      <c r="I16" s="50" t="s">
        <v>128</v>
      </c>
      <c r="J16" s="50"/>
      <c r="K16" s="50"/>
      <c r="L16" s="50" t="s">
        <v>294</v>
      </c>
      <c r="M16" s="50" t="n">
        <v>2</v>
      </c>
      <c r="N16" s="50" t="n">
        <v>2</v>
      </c>
      <c r="O16" s="50" t="s">
        <v>281</v>
      </c>
      <c r="P16" s="50" t="s">
        <v>281</v>
      </c>
      <c r="Q16" s="50" t="n">
        <f aca="true">OFFSET(依頼種別!$A$1, MATCH(L16,依頼種別!B:B,0)-1,0)</f>
        <v>4</v>
      </c>
      <c r="R16" s="77" t="str">
        <f aca="false">"[" &amp; _xlfn.TEXTJOIN(",", 1, IFERROR(INDEX(ノード!A:A, MATCH(I16, ノード!B:B, 0)), ""), IFERROR(INDEX(ノード!A:A, MATCH(J16, ノード!B:B, 0)), ""), IFERROR(INDEX(ノード!A:A, MATCH(K16, ノード!B:B, 0)), "") ) &amp; "]"</f>
        <v>[7]</v>
      </c>
      <c r="S16" s="50" t="n">
        <f aca="false">_xlfn.XLOOKUP(O16, 'バフ、デバフ'!B:B, 'バフ、デバフ'!A:A, "")</f>
        <v>1</v>
      </c>
      <c r="T16" s="50" t="n">
        <f aca="false">_xlfn.XLOOKUP(P16, 'バフ、デバフ'!B:B, 'バフ、デバフ'!A:A, "")</f>
        <v>1</v>
      </c>
    </row>
    <row r="17" customFormat="false" ht="31.15" hidden="false" customHeight="false" outlineLevel="0" collapsed="false">
      <c r="A17" s="50" t="n">
        <v>1</v>
      </c>
      <c r="B17" s="50" t="n">
        <v>5</v>
      </c>
      <c r="C17" s="75" t="s">
        <v>323</v>
      </c>
      <c r="D17" s="76" t="s">
        <v>324</v>
      </c>
      <c r="E17" s="76" t="s">
        <v>325</v>
      </c>
      <c r="F17" s="50" t="s">
        <v>136</v>
      </c>
      <c r="G17" s="50" t="s">
        <v>326</v>
      </c>
      <c r="H17" s="50" t="n">
        <f aca="true">OFFSET(依頼主!$A$1,MATCH(G17,依頼主!B:B,0)-1,0)</f>
        <v>5</v>
      </c>
      <c r="I17" s="50" t="s">
        <v>125</v>
      </c>
      <c r="J17" s="50"/>
      <c r="K17" s="50"/>
      <c r="L17" s="50" t="s">
        <v>294</v>
      </c>
      <c r="M17" s="50" t="n">
        <v>4</v>
      </c>
      <c r="N17" s="50" t="n">
        <v>4</v>
      </c>
      <c r="O17" s="50" t="s">
        <v>281</v>
      </c>
      <c r="P17" s="50" t="s">
        <v>281</v>
      </c>
      <c r="Q17" s="50" t="n">
        <f aca="true">OFFSET(依頼種別!$A$1, MATCH(L17,依頼種別!B:B,0)-1,0)</f>
        <v>4</v>
      </c>
      <c r="R17" s="77" t="str">
        <f aca="false">"[" &amp; _xlfn.TEXTJOIN(",", 1, IFERROR(INDEX(ノード!A:A, MATCH(I17, ノード!B:B, 0)), ""), IFERROR(INDEX(ノード!A:A, MATCH(J17, ノード!B:B, 0)), ""), IFERROR(INDEX(ノード!A:A, MATCH(K17, ノード!B:B, 0)), "") ) &amp; "]"</f>
        <v>[4]</v>
      </c>
      <c r="S17" s="50" t="n">
        <f aca="false">_xlfn.XLOOKUP(O17, 'バフ、デバフ'!B:B, 'バフ、デバフ'!A:A, "")</f>
        <v>1</v>
      </c>
      <c r="T17" s="50" t="n">
        <f aca="false">_xlfn.XLOOKUP(P17, 'バフ、デバフ'!B:B, 'バフ、デバフ'!A:A, "")</f>
        <v>1</v>
      </c>
    </row>
    <row r="18" customFormat="false" ht="41" hidden="false" customHeight="false" outlineLevel="0" collapsed="false">
      <c r="A18" s="50" t="n">
        <v>1</v>
      </c>
      <c r="B18" s="50" t="n">
        <v>6</v>
      </c>
      <c r="C18" s="75" t="s">
        <v>327</v>
      </c>
      <c r="D18" s="76" t="s">
        <v>328</v>
      </c>
      <c r="E18" s="76" t="s">
        <v>329</v>
      </c>
      <c r="F18" s="50" t="n">
        <v>1</v>
      </c>
      <c r="G18" s="50" t="s">
        <v>279</v>
      </c>
      <c r="H18" s="50" t="n">
        <f aca="true">OFFSET(依頼主!$A$1,MATCH(G18,依頼主!B:B,0)-1,0)</f>
        <v>12</v>
      </c>
      <c r="I18" s="50" t="s">
        <v>124</v>
      </c>
      <c r="J18" s="50"/>
      <c r="K18" s="50"/>
      <c r="L18" s="50" t="s">
        <v>330</v>
      </c>
      <c r="M18" s="50" t="s">
        <v>136</v>
      </c>
      <c r="N18" s="50" t="s">
        <v>136</v>
      </c>
      <c r="O18" s="50" t="s">
        <v>331</v>
      </c>
      <c r="P18" s="50" t="s">
        <v>281</v>
      </c>
      <c r="Q18" s="50" t="n">
        <f aca="true">OFFSET(依頼種別!$A$1, MATCH(L18,依頼種別!B:B,0)-1,0)</f>
        <v>1</v>
      </c>
      <c r="R18" s="77" t="str">
        <f aca="false">"[" &amp; _xlfn.TEXTJOIN(",", 1, IFERROR(INDEX(ノード!A:A, MATCH(I18, ノード!B:B, 0)), ""), IFERROR(INDEX(ノード!A:A, MATCH(J18, ノード!B:B, 0)), ""), IFERROR(INDEX(ノード!A:A, MATCH(K18, ノード!B:B, 0)), "") ) &amp; "]"</f>
        <v>[3]</v>
      </c>
      <c r="S18" s="50" t="n">
        <f aca="false">_xlfn.XLOOKUP(O18, 'バフ、デバフ'!B:B, 'バフ、デバフ'!A:A, "")</f>
        <v>8</v>
      </c>
      <c r="T18" s="50" t="n">
        <f aca="false">_xlfn.XLOOKUP(P18, 'バフ、デバフ'!B:B, 'バフ、デバフ'!A:A, "")</f>
        <v>1</v>
      </c>
    </row>
    <row r="19" customFormat="false" ht="41" hidden="false" customHeight="false" outlineLevel="0" collapsed="false">
      <c r="A19" s="50" t="n">
        <v>1</v>
      </c>
      <c r="B19" s="50" t="n">
        <v>6</v>
      </c>
      <c r="C19" s="75" t="s">
        <v>332</v>
      </c>
      <c r="D19" s="76" t="s">
        <v>333</v>
      </c>
      <c r="E19" s="76" t="s">
        <v>334</v>
      </c>
      <c r="F19" s="50" t="n">
        <v>1</v>
      </c>
      <c r="G19" s="50" t="s">
        <v>335</v>
      </c>
      <c r="H19" s="50" t="n">
        <f aca="true">OFFSET(依頼主!$A$1,MATCH(G19,依頼主!B:B,0)-1,0)</f>
        <v>13</v>
      </c>
      <c r="I19" s="50" t="s">
        <v>127</v>
      </c>
      <c r="J19" s="50"/>
      <c r="K19" s="50"/>
      <c r="L19" s="50" t="s">
        <v>330</v>
      </c>
      <c r="M19" s="50" t="s">
        <v>136</v>
      </c>
      <c r="N19" s="50" t="s">
        <v>136</v>
      </c>
      <c r="O19" s="50" t="s">
        <v>336</v>
      </c>
      <c r="P19" s="50" t="s">
        <v>281</v>
      </c>
      <c r="Q19" s="50" t="n">
        <f aca="true">OFFSET(依頼種別!$A$1, MATCH(L19,依頼種別!B:B,0)-1,0)</f>
        <v>1</v>
      </c>
      <c r="R19" s="77" t="str">
        <f aca="false">"[" &amp; _xlfn.TEXTJOIN(",", 1, IFERROR(INDEX(ノード!A:A, MATCH(I19, ノード!B:B, 0)), ""), IFERROR(INDEX(ノード!A:A, MATCH(J19, ノード!B:B, 0)), ""), IFERROR(INDEX(ノード!A:A, MATCH(K19, ノード!B:B, 0)), "") ) &amp; "]"</f>
        <v>[6]</v>
      </c>
      <c r="S19" s="50" t="n">
        <f aca="false">_xlfn.XLOOKUP(O19, 'バフ、デバフ'!B:B, 'バフ、デバフ'!A:A, "")</f>
        <v>9</v>
      </c>
      <c r="T19" s="50" t="n">
        <f aca="false">_xlfn.XLOOKUP(P19, 'バフ、デバフ'!B:B, 'バフ、デバフ'!A:A, "")</f>
        <v>1</v>
      </c>
    </row>
    <row r="20" customFormat="false" ht="41" hidden="false" customHeight="false" outlineLevel="0" collapsed="false">
      <c r="A20" s="50" t="n">
        <v>1</v>
      </c>
      <c r="B20" s="50" t="n">
        <v>6</v>
      </c>
      <c r="C20" s="75" t="s">
        <v>337</v>
      </c>
      <c r="D20" s="76" t="s">
        <v>338</v>
      </c>
      <c r="E20" s="76" t="s">
        <v>339</v>
      </c>
      <c r="F20" s="50" t="n">
        <v>1</v>
      </c>
      <c r="G20" s="50" t="s">
        <v>299</v>
      </c>
      <c r="H20" s="50" t="n">
        <f aca="true">OFFSET(依頼主!$A$1,MATCH(G20,依頼主!B:B,0)-1,0)</f>
        <v>6</v>
      </c>
      <c r="I20" s="50" t="s">
        <v>128</v>
      </c>
      <c r="J20" s="50"/>
      <c r="K20" s="50"/>
      <c r="L20" s="50" t="s">
        <v>330</v>
      </c>
      <c r="M20" s="50" t="s">
        <v>136</v>
      </c>
      <c r="N20" s="50" t="s">
        <v>136</v>
      </c>
      <c r="O20" s="50" t="s">
        <v>340</v>
      </c>
      <c r="P20" s="50" t="s">
        <v>281</v>
      </c>
      <c r="Q20" s="50" t="n">
        <f aca="true">OFFSET(依頼種別!$A$1, MATCH(L20,依頼種別!B:B,0)-1,0)</f>
        <v>1</v>
      </c>
      <c r="R20" s="77" t="str">
        <f aca="false">"[" &amp; _xlfn.TEXTJOIN(",", 1, IFERROR(INDEX(ノード!A:A, MATCH(I20, ノード!B:B, 0)), ""), IFERROR(INDEX(ノード!A:A, MATCH(J20, ノード!B:B, 0)), ""), IFERROR(INDEX(ノード!A:A, MATCH(K20, ノード!B:B, 0)), "") ) &amp; "]"</f>
        <v>[7]</v>
      </c>
      <c r="S20" s="50" t="n">
        <f aca="false">_xlfn.XLOOKUP(O20, 'バフ、デバフ'!B:B, 'バフ、デバフ'!A:A, "")</f>
        <v>10</v>
      </c>
      <c r="T20" s="50" t="n">
        <f aca="false">_xlfn.XLOOKUP(P20, 'バフ、デバフ'!B:B, 'バフ、デバフ'!A:A, "")</f>
        <v>1</v>
      </c>
    </row>
    <row r="21" customFormat="false" ht="41" hidden="false" customHeight="false" outlineLevel="0" collapsed="false">
      <c r="A21" s="50" t="n">
        <v>1</v>
      </c>
      <c r="B21" s="50" t="n">
        <v>7</v>
      </c>
      <c r="C21" s="75" t="s">
        <v>341</v>
      </c>
      <c r="D21" s="76" t="s">
        <v>342</v>
      </c>
      <c r="E21" s="76" t="s">
        <v>343</v>
      </c>
      <c r="F21" s="50" t="s">
        <v>136</v>
      </c>
      <c r="G21" s="50" t="s">
        <v>344</v>
      </c>
      <c r="H21" s="50" t="n">
        <f aca="true">OFFSET(依頼主!$A$1,MATCH(G21,依頼主!B:B,0)-1,0)</f>
        <v>11</v>
      </c>
      <c r="I21" s="50"/>
      <c r="J21" s="50"/>
      <c r="K21" s="50"/>
      <c r="L21" s="50" t="s">
        <v>345</v>
      </c>
      <c r="M21" s="50" t="n">
        <v>1000</v>
      </c>
      <c r="N21" s="50" t="s">
        <v>136</v>
      </c>
      <c r="O21" s="50" t="s">
        <v>281</v>
      </c>
      <c r="P21" s="50" t="s">
        <v>281</v>
      </c>
      <c r="Q21" s="50" t="n">
        <f aca="true">OFFSET(依頼種別!$A$1, MATCH(L21,依頼種別!B:B,0)-1,0)</f>
        <v>10</v>
      </c>
      <c r="R21" s="77" t="str">
        <f aca="false">"[" &amp; _xlfn.TEXTJOIN(",", 1, IFERROR(INDEX(ノード!A:A, MATCH(I21, ノード!B:B, 0)), ""), IFERROR(INDEX(ノード!A:A, MATCH(J21, ノード!B:B, 0)), ""), IFERROR(INDEX(ノード!A:A, MATCH(K21, ノード!B:B, 0)), "") ) &amp; "]"</f>
        <v>[]</v>
      </c>
      <c r="S21" s="50" t="n">
        <f aca="false">_xlfn.XLOOKUP(O21, 'バフ、デバフ'!B:B, 'バフ、デバフ'!A:A, "")</f>
        <v>1</v>
      </c>
      <c r="T21" s="50" t="n">
        <f aca="false">_xlfn.XLOOKUP(P21, 'バフ、デバフ'!B:B, 'バフ、デバフ'!A:A, "")</f>
        <v>1</v>
      </c>
    </row>
    <row r="22" customFormat="false" ht="31.15" hidden="false" customHeight="false" outlineLevel="0" collapsed="false">
      <c r="A22" s="50" t="n">
        <v>1</v>
      </c>
      <c r="B22" s="50" t="n">
        <v>7</v>
      </c>
      <c r="C22" s="75" t="s">
        <v>346</v>
      </c>
      <c r="D22" s="76" t="s">
        <v>347</v>
      </c>
      <c r="E22" s="76" t="s">
        <v>348</v>
      </c>
      <c r="F22" s="50" t="s">
        <v>136</v>
      </c>
      <c r="G22" s="50" t="s">
        <v>349</v>
      </c>
      <c r="H22" s="50" t="n">
        <f aca="true">OFFSET(依頼主!$A$1,MATCH(G22,依頼主!B:B,0)-1,0)</f>
        <v>7</v>
      </c>
      <c r="I22" s="50"/>
      <c r="J22" s="50"/>
      <c r="K22" s="50"/>
      <c r="L22" s="50" t="s">
        <v>294</v>
      </c>
      <c r="M22" s="50" t="n">
        <v>4</v>
      </c>
      <c r="N22" s="50" t="n">
        <v>5</v>
      </c>
      <c r="O22" s="50" t="s">
        <v>281</v>
      </c>
      <c r="P22" s="50" t="s">
        <v>281</v>
      </c>
      <c r="Q22" s="50" t="n">
        <f aca="true">OFFSET(依頼種別!$A$1, MATCH(L22,依頼種別!B:B,0)-1,0)</f>
        <v>4</v>
      </c>
      <c r="R22" s="77" t="str">
        <f aca="false">"[" &amp; _xlfn.TEXTJOIN(",", 1, IFERROR(INDEX(ノード!A:A, MATCH(I22, ノード!B:B, 0)), ""), IFERROR(INDEX(ノード!A:A, MATCH(J22, ノード!B:B, 0)), ""), IFERROR(INDEX(ノード!A:A, MATCH(K22, ノード!B:B, 0)), "") ) &amp; "]"</f>
        <v>[]</v>
      </c>
      <c r="S22" s="50" t="n">
        <f aca="false">_xlfn.XLOOKUP(O22, 'バフ、デバフ'!B:B, 'バフ、デバフ'!A:A, "")</f>
        <v>1</v>
      </c>
      <c r="T22" s="50" t="n">
        <f aca="false">_xlfn.XLOOKUP(P22, 'バフ、デバフ'!B:B, 'バフ、デバフ'!A:A, "")</f>
        <v>1</v>
      </c>
    </row>
    <row r="23" customFormat="false" ht="13.8" hidden="false" customHeight="false" outlineLevel="0" collapsed="false">
      <c r="A23" s="46" t="s">
        <v>113</v>
      </c>
      <c r="B23" s="46"/>
      <c r="C23" s="46"/>
      <c r="D23" s="46"/>
      <c r="E23" s="46"/>
      <c r="F23" s="46"/>
      <c r="G23" s="46"/>
      <c r="H23" s="46"/>
      <c r="I23" s="46"/>
      <c r="J23" s="46"/>
      <c r="K23" s="46"/>
      <c r="L23" s="46"/>
      <c r="M23" s="46"/>
      <c r="N23" s="46"/>
      <c r="O23" s="46"/>
      <c r="P23" s="46"/>
      <c r="Q23" s="46"/>
      <c r="R23" s="46"/>
      <c r="S23" s="46"/>
      <c r="T23" s="46"/>
    </row>
    <row r="29" customFormat="false" ht="13.8" hidden="false" customHeight="false" outlineLevel="0" collapsed="false">
      <c r="A29" s="59" t="s">
        <v>114</v>
      </c>
    </row>
    <row r="30" customFormat="false" ht="13.8" hidden="false" customHeight="false" outlineLevel="0" collapsed="false">
      <c r="A30" s="44" t="s">
        <v>350</v>
      </c>
    </row>
  </sheetData>
  <dataValidations count="5">
    <dataValidation allowBlank="true" errorStyle="stop" operator="between" showDropDown="false" showErrorMessage="true" showInputMessage="true" sqref="O6:Q22" type="list">
      <formula1>'バフ、デバフ'!$B$6:$B$15</formula1>
      <formula2>0</formula2>
    </dataValidation>
    <dataValidation allowBlank="true" errorStyle="stop" operator="between" showDropDown="false" showErrorMessage="true" showInputMessage="true" sqref="L6:L22" type="list">
      <formula1>依頼種別!$B$6:$B$102</formula1>
      <formula2>0</formula2>
    </dataValidation>
    <dataValidation allowBlank="true" errorStyle="stop" operator="between" showDropDown="false" showErrorMessage="true" showInputMessage="true" sqref="G6:G22" type="list">
      <formula1>依頼主!$B$6:$B$106</formula1>
      <formula2>0</formula2>
    </dataValidation>
    <dataValidation allowBlank="true" errorStyle="stop" operator="between" showDropDown="false" showErrorMessage="true" showInputMessage="true" sqref="I6:I22" type="list">
      <formula1>ノード!$B$6:$B$106</formula1>
      <formula2>0</formula2>
    </dataValidation>
    <dataValidation allowBlank="true" errorStyle="stop" operator="between" showDropDown="false" showErrorMessage="true" showInputMessage="true" sqref="J6:K22" type="list">
      <formula1>ノード!$B$6:$B$108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66" width="24.18"/>
    <col collapsed="false" customWidth="true" hidden="false" outlineLevel="0" max="3" min="3" style="66"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94</v>
      </c>
      <c r="B3" s="46"/>
      <c r="C3" s="46"/>
    </row>
    <row r="4" customFormat="false" ht="12.75" hidden="false" customHeight="false" outlineLevel="0" collapsed="false">
      <c r="A4" s="47" t="s">
        <v>95</v>
      </c>
      <c r="B4" s="60" t="s">
        <v>96</v>
      </c>
      <c r="C4" s="47" t="s">
        <v>20</v>
      </c>
    </row>
    <row r="5" customFormat="false" ht="12.75" hidden="false" customHeight="false" outlineLevel="0" collapsed="false">
      <c r="A5" s="49" t="s">
        <v>101</v>
      </c>
      <c r="B5" s="49"/>
      <c r="C5" s="49" t="s">
        <v>164</v>
      </c>
    </row>
    <row r="6" customFormat="false" ht="12.75" hidden="false" customHeight="false" outlineLevel="0" collapsed="false">
      <c r="A6" s="50" t="n">
        <v>1</v>
      </c>
      <c r="B6" s="50" t="s">
        <v>330</v>
      </c>
      <c r="C6" s="50" t="s">
        <v>351</v>
      </c>
    </row>
    <row r="7" customFormat="false" ht="12.75" hidden="false" customHeight="false" outlineLevel="0" collapsed="false">
      <c r="A7" s="50" t="n">
        <v>2</v>
      </c>
      <c r="B7" s="50" t="s">
        <v>352</v>
      </c>
      <c r="C7" s="50" t="s">
        <v>353</v>
      </c>
    </row>
    <row r="8" customFormat="false" ht="12.75" hidden="false" customHeight="false" outlineLevel="0" collapsed="false">
      <c r="A8" s="50" t="n">
        <v>3</v>
      </c>
      <c r="B8" s="50" t="s">
        <v>354</v>
      </c>
      <c r="C8" s="50" t="s">
        <v>355</v>
      </c>
    </row>
    <row r="9" customFormat="false" ht="12.75" hidden="false" customHeight="false" outlineLevel="0" collapsed="false">
      <c r="A9" s="50" t="n">
        <v>4</v>
      </c>
      <c r="B9" s="50" t="s">
        <v>294</v>
      </c>
      <c r="C9" s="50" t="s">
        <v>356</v>
      </c>
    </row>
    <row r="10" customFormat="false" ht="12.75" hidden="false" customHeight="false" outlineLevel="0" collapsed="false">
      <c r="A10" s="50" t="n">
        <v>5</v>
      </c>
      <c r="B10" s="50" t="s">
        <v>357</v>
      </c>
      <c r="C10" s="50" t="s">
        <v>358</v>
      </c>
    </row>
    <row r="11" customFormat="false" ht="12.75" hidden="false" customHeight="false" outlineLevel="0" collapsed="false">
      <c r="A11" s="50" t="n">
        <v>6</v>
      </c>
      <c r="B11" s="50" t="s">
        <v>359</v>
      </c>
      <c r="C11" s="50" t="s">
        <v>358</v>
      </c>
    </row>
    <row r="12" customFormat="false" ht="12.75" hidden="false" customHeight="false" outlineLevel="0" collapsed="false">
      <c r="A12" s="50" t="n">
        <v>7</v>
      </c>
      <c r="B12" s="50" t="s">
        <v>360</v>
      </c>
      <c r="C12" s="50" t="s">
        <v>361</v>
      </c>
    </row>
    <row r="13" customFormat="false" ht="12.75" hidden="false" customHeight="false" outlineLevel="0" collapsed="false">
      <c r="A13" s="50" t="n">
        <v>8</v>
      </c>
      <c r="B13" s="50" t="s">
        <v>300</v>
      </c>
      <c r="C13" s="50" t="s">
        <v>362</v>
      </c>
    </row>
    <row r="14" customFormat="false" ht="12.75" hidden="false" customHeight="false" outlineLevel="0" collapsed="false">
      <c r="A14" s="50" t="n">
        <v>9</v>
      </c>
      <c r="B14" s="50" t="s">
        <v>280</v>
      </c>
      <c r="C14" s="50" t="s">
        <v>363</v>
      </c>
    </row>
    <row r="15" customFormat="false" ht="12.75" hidden="false" customHeight="false" outlineLevel="0" collapsed="false">
      <c r="A15" s="50" t="n">
        <v>10</v>
      </c>
      <c r="B15" s="50" t="s">
        <v>345</v>
      </c>
      <c r="C15" s="50" t="s">
        <v>364</v>
      </c>
    </row>
    <row r="16" customFormat="false" ht="12.75" hidden="false" customHeight="false" outlineLevel="0" collapsed="false">
      <c r="A16" s="46" t="s">
        <v>113</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114</v>
      </c>
      <c r="B20" s="44"/>
      <c r="C20" s="44"/>
    </row>
    <row r="21" customFormat="false" ht="13.8" hidden="false" customHeight="false" outlineLevel="0" collapsed="false">
      <c r="A21" s="44" t="s">
        <v>115</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row>
    <row r="4" customFormat="false" ht="12.75" hidden="false" customHeight="false" outlineLevel="0" collapsed="false">
      <c r="A4" s="47" t="s">
        <v>95</v>
      </c>
      <c r="B4" s="47" t="s">
        <v>96</v>
      </c>
    </row>
    <row r="5" customFormat="false" ht="12.75" hidden="false" customHeight="false" outlineLevel="0" collapsed="false">
      <c r="A5" s="49" t="s">
        <v>101</v>
      </c>
      <c r="B5" s="49" t="s">
        <v>102</v>
      </c>
    </row>
    <row r="6" customFormat="false" ht="12.75" hidden="false" customHeight="false" outlineLevel="0" collapsed="false">
      <c r="A6" s="50" t="n">
        <v>1</v>
      </c>
      <c r="B6" s="50" t="s">
        <v>312</v>
      </c>
    </row>
    <row r="7" customFormat="false" ht="12.75" hidden="false" customHeight="false" outlineLevel="0" collapsed="false">
      <c r="A7" s="50" t="n">
        <v>2</v>
      </c>
      <c r="B7" s="50" t="s">
        <v>365</v>
      </c>
    </row>
    <row r="8" customFormat="false" ht="12.75" hidden="false" customHeight="false" outlineLevel="0" collapsed="false">
      <c r="A8" s="50" t="n">
        <v>3</v>
      </c>
      <c r="B8" s="50" t="s">
        <v>285</v>
      </c>
    </row>
    <row r="9" customFormat="false" ht="12.75" hidden="false" customHeight="false" outlineLevel="0" collapsed="false">
      <c r="A9" s="50" t="n">
        <v>4</v>
      </c>
      <c r="B9" s="50" t="s">
        <v>366</v>
      </c>
    </row>
    <row r="10" customFormat="false" ht="12.75" hidden="false" customHeight="false" outlineLevel="0" collapsed="false">
      <c r="A10" s="50" t="n">
        <v>5</v>
      </c>
      <c r="B10" s="50" t="s">
        <v>326</v>
      </c>
    </row>
    <row r="11" customFormat="false" ht="12.75" hidden="false" customHeight="false" outlineLevel="0" collapsed="false">
      <c r="A11" s="50" t="n">
        <v>6</v>
      </c>
      <c r="B11" s="50" t="s">
        <v>299</v>
      </c>
    </row>
    <row r="12" customFormat="false" ht="12.75" hidden="false" customHeight="false" outlineLevel="0" collapsed="false">
      <c r="A12" s="50" t="n">
        <v>7</v>
      </c>
      <c r="B12" s="50" t="s">
        <v>349</v>
      </c>
    </row>
    <row r="13" customFormat="false" ht="12.75" hidden="false" customHeight="false" outlineLevel="0" collapsed="false">
      <c r="A13" s="50" t="n">
        <v>8</v>
      </c>
      <c r="B13" s="50" t="s">
        <v>289</v>
      </c>
    </row>
    <row r="14" customFormat="false" ht="12.75" hidden="false" customHeight="false" outlineLevel="0" collapsed="false">
      <c r="A14" s="50" t="n">
        <v>9</v>
      </c>
      <c r="B14" s="50" t="s">
        <v>305</v>
      </c>
    </row>
    <row r="15" customFormat="false" ht="12.75" hidden="false" customHeight="false" outlineLevel="0" collapsed="false">
      <c r="A15" s="50" t="n">
        <v>10</v>
      </c>
      <c r="B15" s="50" t="s">
        <v>367</v>
      </c>
    </row>
    <row r="16" customFormat="false" ht="12.75" hidden="false" customHeight="false" outlineLevel="0" collapsed="false">
      <c r="A16" s="50" t="n">
        <v>11</v>
      </c>
      <c r="B16" s="50" t="s">
        <v>344</v>
      </c>
    </row>
    <row r="17" customFormat="false" ht="12.75" hidden="false" customHeight="false" outlineLevel="0" collapsed="false">
      <c r="A17" s="50" t="n">
        <v>12</v>
      </c>
      <c r="B17" s="50" t="s">
        <v>279</v>
      </c>
    </row>
    <row r="18" customFormat="false" ht="12.75" hidden="false" customHeight="false" outlineLevel="0" collapsed="false">
      <c r="A18" s="50" t="n">
        <v>13</v>
      </c>
      <c r="B18" s="50" t="s">
        <v>335</v>
      </c>
    </row>
    <row r="19" customFormat="false" ht="12.75" hidden="false" customHeight="false" outlineLevel="0" collapsed="false">
      <c r="A19" s="50" t="n">
        <v>14</v>
      </c>
      <c r="B19" s="50" t="s">
        <v>368</v>
      </c>
    </row>
    <row r="20" customFormat="false" ht="12.75" hidden="false" customHeight="false" outlineLevel="0" collapsed="false">
      <c r="A20" s="50" t="n">
        <v>15</v>
      </c>
      <c r="B20" s="50" t="s">
        <v>369</v>
      </c>
    </row>
    <row r="21" customFormat="false" ht="12.75" hidden="false" customHeight="false" outlineLevel="0" collapsed="false">
      <c r="A21" s="50" t="n">
        <v>16</v>
      </c>
      <c r="B21" s="50"/>
    </row>
    <row r="22" customFormat="false" ht="12.75" hidden="false" customHeight="false" outlineLevel="0" collapsed="false">
      <c r="A22" s="46" t="s">
        <v>113</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114</v>
      </c>
    </row>
    <row r="28" customFormat="false" ht="13.8" hidden="false" customHeight="false" outlineLevel="0" collapsed="false">
      <c r="A28"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c r="E3" s="46"/>
      <c r="F3" s="46"/>
      <c r="G3" s="46"/>
      <c r="H3" s="46"/>
      <c r="I3" s="46"/>
      <c r="J3" s="46"/>
      <c r="K3" s="46"/>
      <c r="L3" s="46"/>
      <c r="M3" s="46"/>
    </row>
    <row r="4" customFormat="false" ht="12.75" hidden="false" customHeight="false" outlineLevel="0" collapsed="false">
      <c r="A4" s="47" t="s">
        <v>95</v>
      </c>
      <c r="B4" s="47" t="s">
        <v>96</v>
      </c>
      <c r="C4" s="74" t="s">
        <v>370</v>
      </c>
      <c r="D4" s="73" t="s">
        <v>370</v>
      </c>
      <c r="E4" s="47" t="s">
        <v>371</v>
      </c>
      <c r="F4" s="47" t="s">
        <v>372</v>
      </c>
      <c r="G4" s="74" t="s">
        <v>261</v>
      </c>
      <c r="H4" s="74" t="s">
        <v>262</v>
      </c>
      <c r="I4" s="74" t="s">
        <v>262</v>
      </c>
      <c r="J4" s="74" t="s">
        <v>373</v>
      </c>
      <c r="K4" s="73" t="s">
        <v>262</v>
      </c>
      <c r="L4" s="73" t="s">
        <v>374</v>
      </c>
      <c r="M4" s="78" t="s">
        <v>20</v>
      </c>
    </row>
    <row r="5" customFormat="false" ht="12.75" hidden="false" customHeight="false" outlineLevel="0" collapsed="false">
      <c r="A5" s="49" t="s">
        <v>101</v>
      </c>
      <c r="B5" s="49" t="s">
        <v>102</v>
      </c>
      <c r="C5" s="49"/>
      <c r="D5" s="49" t="s">
        <v>272</v>
      </c>
      <c r="E5" s="49" t="s">
        <v>375</v>
      </c>
      <c r="F5" s="49" t="s">
        <v>376</v>
      </c>
      <c r="G5" s="49"/>
      <c r="H5" s="49"/>
      <c r="I5" s="49"/>
      <c r="J5" s="49"/>
      <c r="K5" s="49" t="s">
        <v>273</v>
      </c>
      <c r="L5" s="49" t="s">
        <v>377</v>
      </c>
      <c r="M5" s="49"/>
    </row>
    <row r="6" customFormat="false" ht="12.75" hidden="false" customHeight="false" outlineLevel="0" collapsed="false">
      <c r="A6" s="50" t="n">
        <v>1</v>
      </c>
      <c r="B6" s="50" t="s">
        <v>281</v>
      </c>
      <c r="C6" s="50" t="s">
        <v>136</v>
      </c>
      <c r="D6" s="50" t="n">
        <f aca="true">OFFSET('バフ、デバフ種別'!$A$1,MATCH($C6,'バフ、デバフ種別'!B:B,0)-1,0)</f>
        <v>1</v>
      </c>
      <c r="E6" s="50" t="s">
        <v>136</v>
      </c>
      <c r="F6" s="50" t="s">
        <v>136</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378</v>
      </c>
      <c r="C7" s="50" t="s">
        <v>379</v>
      </c>
      <c r="D7" s="50" t="n">
        <f aca="true">OFFSET('バフ、デバフ種別'!$A$1,MATCH($C7,'バフ、デバフ種別'!B:B,0)-1,0)</f>
        <v>8</v>
      </c>
      <c r="E7" s="50" t="n">
        <v>5</v>
      </c>
      <c r="F7" s="50" t="s">
        <v>136</v>
      </c>
      <c r="G7" s="50" t="s">
        <v>130</v>
      </c>
      <c r="H7" s="50"/>
      <c r="I7" s="50"/>
      <c r="J7" s="50" t="s">
        <v>105</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290</v>
      </c>
      <c r="C8" s="50" t="s">
        <v>380</v>
      </c>
      <c r="D8" s="50" t="n">
        <f aca="true">OFFSET('バフ、デバフ種別'!$A$1,MATCH($C8,'バフ、デバフ種別'!B:B,0)-1,0)</f>
        <v>9</v>
      </c>
      <c r="E8" s="50" t="s">
        <v>136</v>
      </c>
      <c r="F8" s="50" t="s">
        <v>136</v>
      </c>
      <c r="G8" s="50" t="s">
        <v>125</v>
      </c>
      <c r="H8" s="50"/>
      <c r="I8" s="50"/>
      <c r="J8" s="50" t="s">
        <v>105</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381</v>
      </c>
      <c r="C9" s="50" t="s">
        <v>380</v>
      </c>
      <c r="D9" s="50" t="n">
        <f aca="true">OFFSET('バフ、デバフ種別'!$A$1,MATCH($C9,'バフ、デバフ種別'!B:B,0)-1,0)</f>
        <v>9</v>
      </c>
      <c r="E9" s="50" t="s">
        <v>136</v>
      </c>
      <c r="F9" s="50" t="s">
        <v>136</v>
      </c>
      <c r="G9" s="50" t="s">
        <v>127</v>
      </c>
      <c r="H9" s="50"/>
      <c r="I9" s="50"/>
      <c r="J9" s="50" t="s">
        <v>105</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301</v>
      </c>
      <c r="C10" s="50" t="s">
        <v>380</v>
      </c>
      <c r="D10" s="50" t="n">
        <f aca="true">OFFSET('バフ、デバフ種別'!$A$1,MATCH($C10,'バフ、デバフ種別'!B:B,0)-1,0)</f>
        <v>9</v>
      </c>
      <c r="E10" s="50" t="s">
        <v>136</v>
      </c>
      <c r="F10" s="50" t="s">
        <v>136</v>
      </c>
      <c r="G10" s="50" t="s">
        <v>128</v>
      </c>
      <c r="H10" s="50"/>
      <c r="I10" s="50"/>
      <c r="J10" s="50" t="s">
        <v>105</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319</v>
      </c>
      <c r="C11" s="50" t="s">
        <v>380</v>
      </c>
      <c r="D11" s="50" t="n">
        <f aca="true">OFFSET('バフ、デバフ種別'!$A$1,MATCH($C11,'バフ、デバフ種別'!B:B,0)-1,0)</f>
        <v>9</v>
      </c>
      <c r="E11" s="50" t="s">
        <v>136</v>
      </c>
      <c r="F11" s="50" t="s">
        <v>136</v>
      </c>
      <c r="G11" s="50" t="s">
        <v>131</v>
      </c>
      <c r="H11" s="50"/>
      <c r="I11" s="50"/>
      <c r="J11" s="50" t="s">
        <v>105</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295</v>
      </c>
      <c r="C12" s="50" t="s">
        <v>380</v>
      </c>
      <c r="D12" s="50" t="n">
        <f aca="true">OFFSET('バフ、デバフ種別'!$A$1,MATCH($C12,'バフ、デバフ種別'!B:B,0)-1,0)</f>
        <v>9</v>
      </c>
      <c r="E12" s="50" t="s">
        <v>136</v>
      </c>
      <c r="F12" s="50" t="s">
        <v>136</v>
      </c>
      <c r="G12" s="50" t="s">
        <v>124</v>
      </c>
      <c r="H12" s="50"/>
      <c r="I12" s="50"/>
      <c r="J12" s="50" t="s">
        <v>105</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331</v>
      </c>
      <c r="C13" s="50" t="s">
        <v>382</v>
      </c>
      <c r="D13" s="50" t="n">
        <f aca="true">OFFSET('バフ、デバフ種別'!$A$1,MATCH($C13,'バフ、デバフ種別'!B:B,0)-1,0)</f>
        <v>5</v>
      </c>
      <c r="E13" s="50" t="n">
        <v>50</v>
      </c>
      <c r="F13" s="50" t="s">
        <v>136</v>
      </c>
      <c r="G13" s="50" t="s">
        <v>124</v>
      </c>
      <c r="H13" s="50"/>
      <c r="I13" s="50"/>
      <c r="J13" s="50" t="s">
        <v>105</v>
      </c>
      <c r="K13" s="50" t="str">
        <f aca="false">"[" &amp; _xlfn.TEXTJOIN(",", 1,   IFERROR(INDEX(ノード!A:A, MATCH($G13, ノード!B:B, 0)), ""),   IFERROR(INDEX(ノード!A:A, MATCH($H13, ノード!B:B, 0)), ""),   IFERROR(INDEX(ノード!A:A, MATCH($I13, ノード!B:B, 0)), "") ) &amp; "]"</f>
        <v>[3]</v>
      </c>
      <c r="L13" s="50" t="str">
        <f aca="false">"[" &amp; _xlfn.TEXTJOIN(",", 1,   IFERROR(INDEX(素材!A:A, MATCH($J13, 素材!B:B, 0)), "") ) &amp; "]"</f>
        <v>[0]</v>
      </c>
      <c r="M13" s="50" t="str">
        <f aca="false">SUBSTITUTE(SUBSTITUTE(SUBSTITUTE(C13,"{0}",G13),"{1}",E13),"{2}",J13)</f>
        <v>農業モジュールの出力が永久に+50％</v>
      </c>
    </row>
    <row r="14" customFormat="false" ht="12.75" hidden="false" customHeight="false" outlineLevel="0" collapsed="false">
      <c r="A14" s="50" t="n">
        <v>9</v>
      </c>
      <c r="B14" s="50" t="s">
        <v>336</v>
      </c>
      <c r="C14" s="50" t="s">
        <v>382</v>
      </c>
      <c r="D14" s="50" t="n">
        <f aca="true">OFFSET('バフ、デバフ種別'!$A$1,MATCH($C14,'バフ、デバフ種別'!B:B,0)-1,0)</f>
        <v>5</v>
      </c>
      <c r="E14" s="50" t="n">
        <v>50</v>
      </c>
      <c r="F14" s="50" t="s">
        <v>136</v>
      </c>
      <c r="G14" s="50" t="s">
        <v>127</v>
      </c>
      <c r="H14" s="50"/>
      <c r="I14" s="50"/>
      <c r="J14" s="50" t="s">
        <v>105</v>
      </c>
      <c r="K14" s="50" t="str">
        <f aca="false">"[" &amp; _xlfn.TEXTJOIN(",", 1,   IFERROR(INDEX(ノード!A:A, MATCH($G14, ノード!B:B, 0)), ""),   IFERROR(INDEX(ノード!A:A, MATCH($H14, ノード!B:B, 0)), ""),   IFERROR(INDEX(ノード!A:A, MATCH($I14, ノード!B:B, 0)), "") ) &amp; "]"</f>
        <v>[6]</v>
      </c>
      <c r="L14" s="50" t="str">
        <f aca="false">"[" &amp; _xlfn.TEXTJOIN(",", 1,   IFERROR(INDEX(素材!A:A, MATCH($J14, 素材!B:B, 0)), "") ) &amp; "]"</f>
        <v>[0]</v>
      </c>
      <c r="M14" s="50" t="str">
        <f aca="false">SUBSTITUTE(SUBSTITUTE(SUBSTITUTE(C14,"{0}",G14),"{1}",E14),"{2}",J14)</f>
        <v>工場モジュールの出力が永久に+50％</v>
      </c>
    </row>
    <row r="15" customFormat="false" ht="12.75" hidden="false" customHeight="false" outlineLevel="0" collapsed="false">
      <c r="A15" s="50" t="n">
        <v>10</v>
      </c>
      <c r="B15" s="50" t="s">
        <v>340</v>
      </c>
      <c r="C15" s="50" t="s">
        <v>382</v>
      </c>
      <c r="D15" s="50" t="n">
        <f aca="true">OFFSET('バフ、デバフ種別'!$A$1,MATCH($C15,'バフ、デバフ種別'!B:B,0)-1,0)</f>
        <v>5</v>
      </c>
      <c r="E15" s="50" t="n">
        <v>50</v>
      </c>
      <c r="F15" s="50" t="s">
        <v>136</v>
      </c>
      <c r="G15" s="50" t="s">
        <v>128</v>
      </c>
      <c r="H15" s="50"/>
      <c r="I15" s="50"/>
      <c r="J15" s="50" t="s">
        <v>105</v>
      </c>
      <c r="K15" s="50" t="str">
        <f aca="false">"[" &amp; _xlfn.TEXTJOIN(",", 1,   IFERROR(INDEX(ノード!A:A, MATCH($G15, ノード!B:B, 0)), ""),   IFERROR(INDEX(ノード!A:A, MATCH($H15, ノード!B:B, 0)), ""),   IFERROR(INDEX(ノード!A:A, MATCH($I15, ノード!B:B, 0)), "") ) &amp; "]"</f>
        <v>[7]</v>
      </c>
      <c r="L15" s="50" t="str">
        <f aca="false">"[" &amp; _xlfn.TEXTJOIN(",", 1,   IFERROR(INDEX(素材!A:A, MATCH($J15, 素材!B:B, 0)), "") ) &amp; "]"</f>
        <v>[0]</v>
      </c>
      <c r="M15" s="50" t="str">
        <f aca="false">SUBSTITUTE(SUBSTITUTE(SUBSTITUTE(C15,"{0}",G15),"{1}",E15),"{2}",J15)</f>
        <v>商業モジュールの出力が永久に+50％</v>
      </c>
    </row>
    <row r="16" customFormat="false" ht="12.75" hidden="false" customHeight="false" outlineLevel="0" collapsed="false">
      <c r="A16" s="46" t="s">
        <v>113</v>
      </c>
      <c r="B16" s="46"/>
      <c r="C16" s="46"/>
      <c r="D16" s="46"/>
      <c r="E16" s="46"/>
      <c r="F16" s="46"/>
      <c r="G16" s="46"/>
      <c r="H16" s="46"/>
      <c r="I16" s="46"/>
      <c r="J16" s="46"/>
      <c r="K16" s="46"/>
      <c r="L16" s="46"/>
      <c r="M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115</v>
      </c>
    </row>
  </sheetData>
  <dataValidations count="3">
    <dataValidation allowBlank="true" errorStyle="stop" operator="between" showDropDown="false" showErrorMessage="true" showInputMessage="true" sqref="G6:I15" type="list">
      <formula1>ノード!$B$6:$B$210</formula1>
      <formula2>0</formula2>
    </dataValidation>
    <dataValidation allowBlank="true" errorStyle="stop" operator="between" showDropDown="false" showErrorMessage="true" showInputMessage="true" sqref="J6:J15" type="list">
      <formula1>素材!$B$6:$B$108</formula1>
      <formula2>0</formula2>
    </dataValidation>
    <dataValidation allowBlank="true" errorStyle="stop" operator="between" showDropDown="false" showErrorMessage="true" showInputMessage="true" sqref="C6:C15"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370</v>
      </c>
      <c r="B4" s="47" t="s">
        <v>383</v>
      </c>
      <c r="C4" s="47" t="s">
        <v>384</v>
      </c>
      <c r="D4" s="47" t="s">
        <v>385</v>
      </c>
    </row>
    <row r="5" customFormat="false" ht="12.75" hidden="false" customHeight="false" outlineLevel="0" collapsed="false">
      <c r="A5" s="49" t="s">
        <v>386</v>
      </c>
      <c r="B5" s="49" t="s">
        <v>164</v>
      </c>
      <c r="C5" s="49" t="s">
        <v>387</v>
      </c>
      <c r="D5" s="49" t="s">
        <v>388</v>
      </c>
    </row>
    <row r="6" customFormat="false" ht="12.75" hidden="false" customHeight="false" outlineLevel="0" collapsed="false">
      <c r="A6" s="50" t="n">
        <v>1</v>
      </c>
      <c r="B6" s="50" t="s">
        <v>136</v>
      </c>
      <c r="C6" s="50" t="s">
        <v>136</v>
      </c>
      <c r="D6" s="50" t="s">
        <v>136</v>
      </c>
    </row>
    <row r="7" customFormat="false" ht="12.75" hidden="false" customHeight="false" outlineLevel="0" collapsed="false">
      <c r="A7" s="50" t="n">
        <v>2</v>
      </c>
      <c r="B7" s="50" t="s">
        <v>389</v>
      </c>
      <c r="C7" s="50" t="n">
        <v>1</v>
      </c>
      <c r="D7" s="50" t="n">
        <v>100</v>
      </c>
    </row>
    <row r="8" customFormat="false" ht="12.75" hidden="false" customHeight="false" outlineLevel="0" collapsed="false">
      <c r="A8" s="50" t="n">
        <v>3</v>
      </c>
      <c r="B8" s="50" t="s">
        <v>390</v>
      </c>
      <c r="C8" s="50" t="n">
        <v>1</v>
      </c>
      <c r="D8" s="50" t="n">
        <v>100</v>
      </c>
    </row>
    <row r="9" customFormat="false" ht="12.75" hidden="false" customHeight="false" outlineLevel="0" collapsed="false">
      <c r="A9" s="50" t="n">
        <v>4</v>
      </c>
      <c r="B9" s="50" t="s">
        <v>391</v>
      </c>
      <c r="C9" s="50" t="n">
        <v>-1</v>
      </c>
      <c r="D9" s="50" t="n">
        <v>3</v>
      </c>
    </row>
    <row r="10" customFormat="false" ht="12.75" hidden="false" customHeight="false" outlineLevel="0" collapsed="false">
      <c r="A10" s="50" t="n">
        <v>5</v>
      </c>
      <c r="B10" s="50" t="s">
        <v>382</v>
      </c>
      <c r="C10" s="50" t="n">
        <v>1</v>
      </c>
      <c r="D10" s="50" t="n">
        <v>3</v>
      </c>
    </row>
    <row r="11" customFormat="false" ht="12.75" hidden="false" customHeight="false" outlineLevel="0" collapsed="false">
      <c r="A11" s="50" t="n">
        <v>6</v>
      </c>
      <c r="B11" s="50" t="s">
        <v>392</v>
      </c>
      <c r="C11" s="50" t="n">
        <v>1</v>
      </c>
      <c r="D11" s="50" t="n">
        <v>2</v>
      </c>
    </row>
    <row r="12" customFormat="false" ht="12.75" hidden="false" customHeight="false" outlineLevel="0" collapsed="false">
      <c r="A12" s="50" t="n">
        <v>7</v>
      </c>
      <c r="B12" s="50" t="s">
        <v>393</v>
      </c>
      <c r="C12" s="50" t="n">
        <v>-1</v>
      </c>
      <c r="D12" s="50" t="n">
        <v>1</v>
      </c>
    </row>
    <row r="13" customFormat="false" ht="12.75" hidden="false" customHeight="false" outlineLevel="0" collapsed="false">
      <c r="A13" s="50" t="n">
        <v>8</v>
      </c>
      <c r="B13" s="50" t="s">
        <v>379</v>
      </c>
      <c r="C13" s="50" t="n">
        <v>0</v>
      </c>
      <c r="D13" s="50" t="n">
        <v>3</v>
      </c>
    </row>
    <row r="14" customFormat="false" ht="12.75" hidden="false" customHeight="false" outlineLevel="0" collapsed="false">
      <c r="A14" s="50" t="n">
        <v>9</v>
      </c>
      <c r="B14" s="50" t="s">
        <v>380</v>
      </c>
      <c r="C14" s="50" t="n">
        <v>0</v>
      </c>
      <c r="D14" s="50" t="n">
        <v>100</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s="44" customFormat="true" ht="13.8" hidden="false" customHeight="false" outlineLevel="0" collapsed="false"/>
    <row r="20" s="44" customFormat="true" ht="13.8" hidden="false" customHeight="false" outlineLevel="0" collapsed="false">
      <c r="A20" s="59" t="s">
        <v>114</v>
      </c>
    </row>
    <row r="21" customFormat="false" ht="13.8" hidden="false" customHeight="false" outlineLevel="0" collapsed="false">
      <c r="A21" s="44" t="s">
        <v>394</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83C063F9-2E87-414C-ABF7-380060795017}">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299</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2026-03-01T10:24:56Z</dcterms:modified>
  <cp:revision>23</cp:revision>
  <dc:subject/>
  <dc:title/>
</cp:coreProperties>
</file>

<file path=docProps/custom.xml><?xml version="1.0" encoding="utf-8"?>
<Properties xmlns="http://schemas.openxmlformats.org/officeDocument/2006/custom-properties" xmlns:vt="http://schemas.openxmlformats.org/officeDocument/2006/docPropsVTypes"/>
</file>