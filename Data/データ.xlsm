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3.xml" ContentType="application/vnd.openxmlformats-officedocument.drawing+xml"/>
  <Override PartName="/xl/vbaProject.bin" ContentType="application/vnd.ms-office.vbaProject"/>
  <Override PartName="/xl/styles.xml" ContentType="application/vnd.openxmlformats-officedocument.spreadsheetml.styles+xml"/>
  <Override PartName="/xl/ctrlProps/ctrlProps2.xml" ContentType="application/vnd.ms-excel.controlproperties+xml"/>
  <Override PartName="/xl/ctrlProps/ctrlProps4.xml" ContentType="application/vnd.ms-excel.controlproperti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7"/>
  </bookViews>
  <sheets>
    <sheet name="JSON出力ツール" sheetId="1" state="visible" r:id="rId4"/>
    <sheet name="IDクラス出力ツール" sheetId="2" state="visible" r:id="rId5"/>
    <sheet name="素材" sheetId="3" state="visible" r:id="rId6"/>
    <sheet name="ノード" sheetId="4" state="visible" r:id="rId7"/>
    <sheet name="ノードコスト" sheetId="5" state="visible" r:id="rId8"/>
    <sheet name="ノードIO" sheetId="6" state="visible" r:id="rId9"/>
    <sheet name="章" sheetId="7" state="visible" r:id="rId10"/>
    <sheet name="デモ" sheetId="8" state="visible" r:id="rId11"/>
    <sheet name="依頼" sheetId="9" state="visible" r:id="rId12"/>
    <sheet name="依頼種別" sheetId="10" state="visible" r:id="rId13"/>
    <sheet name="依頼主" sheetId="11" state="visible" r:id="rId14"/>
    <sheet name="バフ、デバフ" sheetId="12" state="visible" r:id="rId15"/>
    <sheet name="バフ、デバフ種別" sheetId="13" state="visible" r:id="rId16"/>
  </sheets>
  <definedNames>
    <definedName function="false" hidden="true" name="_xleta.SEARCH" vbProcedure="false">#NAME?</definedName>
    <definedName function="false" hidden="true" name="_xleta.VLOOKUP" vbProcedure="false">#NAME?</definedName>
    <definedName function="false" hidden="true" name="_xlpm.o" vbProcedure="false">#NAME?</definedName>
    <definedName function="false" hidden="true" name="_xlpm.output_list" vbProcedure="false">#NAME?</definedName>
    <definedName function="false" hidden="true" name="_xlpm.results" vbProcedure="false">#NAME?</definedName>
    <definedName function="false" hidden="true" name="_xlpm.s" vbProcedure="false">#NAME?</definedName>
    <definedName function="false" hidden="true" name="_xlpm.search_list" vbProcedure="false">#NAME?</definedName>
    <definedName function="false" hidden="true" name="_xlpm.search_vals" vbProcedure="false">#NAME?</definedName>
    <definedName function="false" hidden="true" name="_xlpm.v" vbProcedure="false">#NAME?</definedName>
    <definedName function="false" hidden="false" name="キャラ" vbProcedure="false">#REF!</definedName>
    <definedName function="false" hidden="false" name="キャララベル" vbProcedure="false">#REF!</definedName>
    <definedName function="false" hidden="false" name="キャラリスト" vbProcedure="false">#REF!</definedName>
    <definedName function="false" hidden="false" localSheetId="3" name="キャララベル" vbProcedure="false">#REF!</definedName>
    <definedName function="false" hidden="false" localSheetId="3" name="キャラリスト"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<sst xmlns="http://schemas.openxmlformats.org/spreadsheetml/2006/main" count="944" uniqueCount="343">
  <si>
    <t xml:space="preserve">出力設定</t>
  </si>
  <si>
    <t xml:space="preserve">出力名</t>
  </si>
  <si>
    <t xml:space="preserve">JSON、CSファイル出力ツール</t>
  </si>
  <si>
    <t xml:space="preserve">0.3.4</t>
  </si>
  <si>
    <t xml:space="preserve">素材</t>
  </si>
  <si>
    <t xml:space="preserve">resource_data</t>
  </si>
  <si>
    <t xml:space="preserve">注意</t>
  </si>
  <si>
    <t xml:space="preserve">ノード</t>
  </si>
  <si>
    <t xml:space="preserve">node_data</t>
  </si>
  <si>
    <t xml:space="preserve">※シート名や、ファイル名には半角スペースを使用しないでください。</t>
  </si>
  <si>
    <t xml:space="preserve">ノードコスト</t>
  </si>
  <si>
    <t xml:space="preserve">node_cost_data</t>
  </si>
  <si>
    <t xml:space="preserve">※シート名や、ファイル名は、半角/全角問わず31文字以下に設定してください。</t>
  </si>
  <si>
    <t xml:space="preserve">ノードIO</t>
  </si>
  <si>
    <t xml:space="preserve">node_io_data</t>
  </si>
  <si>
    <t xml:space="preserve">※出力補助は、できる限り「sort」「add」「inc」の順で使ってください。</t>
  </si>
  <si>
    <t xml:space="preserve">章</t>
  </si>
  <si>
    <t xml:space="preserve">chapter_data</t>
  </si>
  <si>
    <t xml:space="preserve">依頼</t>
  </si>
  <si>
    <t xml:space="preserve">request_data</t>
  </si>
  <si>
    <t xml:space="preserve">説明</t>
  </si>
  <si>
    <t xml:space="preserve">依頼種別</t>
  </si>
  <si>
    <t xml:space="preserve">request_type_data</t>
  </si>
  <si>
    <t xml:space="preserve">JSON出力ツールはエクセルデータから一部を切り出して</t>
  </si>
  <si>
    <t xml:space="preserve">依頼主</t>
  </si>
  <si>
    <t xml:space="preserve">request_client_data</t>
  </si>
  <si>
    <t xml:space="preserve">JSONファイルとC#のクラスファイルを出力するためのツールです。</t>
  </si>
  <si>
    <t xml:space="preserve">バフ、デバフ</t>
  </si>
  <si>
    <t xml:space="preserve">effect_data</t>
  </si>
  <si>
    <t xml:space="preserve">まとめられたデータは、エクセルと同じ階層に「json」のフォルダを作成し、</t>
  </si>
  <si>
    <t xml:space="preserve">バフ、デバフ種別</t>
  </si>
  <si>
    <t xml:space="preserve">effect_type_data</t>
  </si>
  <si>
    <t xml:space="preserve">その中に、UTF-8、BOMなしのcsファイルを出力していきます。</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</si>
  <si>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</si>
  <si>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</si>
  <si>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</si>
  <si>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</si>
  <si>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</si>
  <si>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</si>
  <si>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</si>
  <si>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</si>
  <si>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</si>
  <si>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</si>
  <si>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</si>
  <si>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</si>
  <si>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</si>
  <si>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</si>
  <si>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</si>
  <si>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</si>
  <si>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</si>
  <si>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</si>
  <si>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</si>
  <si>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</si>
  <si>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追加</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</si>
  <si>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</si>
  <si>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</si>
  <si>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</si>
  <si>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</si>
  <si>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</si>
  <si>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</si>
  <si>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</si>
  <si>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</si>
  <si>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</si>
  <si>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</si>
  <si>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</si>
  <si>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</si>
  <si>
    <t xml:space="preserve">17/12/19 修正</t>
  </si>
  <si>
    <t xml:space="preserve">条件付き書式でC列の色を塗った時も出力しないように対応</t>
  </si>
  <si>
    <t xml:space="preserve">名前列</t>
  </si>
  <si>
    <t xml:space="preserve">ID列</t>
  </si>
  <si>
    <t xml:space="preserve">IDクラス出力ツール</t>
  </si>
  <si>
    <t xml:space="preserve">0.2.0</t>
  </si>
  <si>
    <t xml:space="preserve">ResourceId</t>
  </si>
  <si>
    <t xml:space="preserve">B</t>
  </si>
  <si>
    <t xml:space="preserve">A</t>
  </si>
  <si>
    <t xml:space="preserve">NodeId</t>
  </si>
  <si>
    <t xml:space="preserve">EffectId</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</si>
  <si>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</si>
  <si>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</si>
  <si>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</si>
  <si>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</si>
  <si>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</si>
  <si>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</si>
  <si>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</si>
  <si>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</si>
  <si>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</si>
  <si>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</si>
  <si>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</si>
  <si>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</si>
  <si>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</si>
  <si>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</si>
  <si>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</si>
  <si>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ここから</t>
  </si>
  <si>
    <t xml:space="preserve">ID</t>
  </si>
  <si>
    <t xml:space="preserve">名前</t>
  </si>
  <si>
    <t xml:space="preserve">売り物か</t>
  </si>
  <si>
    <t xml:space="preserve">色（出力サンプル）</t>
  </si>
  <si>
    <t xml:space="preserve">色（モジュール出力）</t>
  </si>
  <si>
    <t xml:space="preserve">色</t>
  </si>
  <si>
    <t xml:space="preserve">Id:int</t>
  </si>
  <si>
    <t xml:space="preserve">DisplayName:string</t>
  </si>
  <si>
    <t xml:space="preserve">Salable:bool</t>
  </si>
  <si>
    <t xml:space="preserve">Color:Color</t>
  </si>
  <si>
    <t xml:space="preserve">全て</t>
  </si>
  <si>
    <t xml:space="preserve">資金</t>
  </si>
  <si>
    <t xml:space="preserve">水</t>
  </si>
  <si>
    <t xml:space="preserve">電気</t>
  </si>
  <si>
    <t xml:space="preserve">食料</t>
  </si>
  <si>
    <t xml:space="preserve">労働力</t>
  </si>
  <si>
    <t xml:space="preserve">商品</t>
  </si>
  <si>
    <t xml:space="preserve">安全</t>
  </si>
  <si>
    <t xml:space="preserve">ここまで</t>
  </si>
  <si>
    <t xml:space="preserve">キーデータ</t>
  </si>
  <si>
    <t xml:space="preserve">[PrimaryKey]Id</t>
  </si>
  <si>
    <t xml:space="preserve">解放する章</t>
  </si>
  <si>
    <t xml:space="preserve">解放する節</t>
  </si>
  <si>
    <t xml:space="preserve">UnlockChapter:int</t>
  </si>
  <si>
    <t xml:space="preserve">UnlockSection:int</t>
  </si>
  <si>
    <t xml:space="preserve">水処理ユニット</t>
  </si>
  <si>
    <t xml:space="preserve">発電ユニット</t>
  </si>
  <si>
    <t xml:space="preserve">農業モジュール</t>
  </si>
  <si>
    <t xml:space="preserve">居住モジュール</t>
  </si>
  <si>
    <t xml:space="preserve">リソースバッファ</t>
  </si>
  <si>
    <t xml:space="preserve">工場モジュール</t>
  </si>
  <si>
    <t xml:space="preserve">商業モジュール</t>
  </si>
  <si>
    <t xml:space="preserve">治安維持ユニット</t>
  </si>
  <si>
    <t xml:space="preserve">瓦礫</t>
  </si>
  <si>
    <t xml:space="preserve">食品加工モジュール</t>
  </si>
  <si>
    <t xml:space="preserve">生成数</t>
  </si>
  <si>
    <t xml:space="preserve">生成コスト（0は制作不可）</t>
  </si>
  <si>
    <t xml:space="preserve">Count:int</t>
  </si>
  <si>
    <t xml:space="preserve">Cost:int</t>
  </si>
  <si>
    <t xml:space="preserve">Id</t>
  </si>
  <si>
    <t xml:space="preserve">レベル</t>
  </si>
  <si>
    <t xml:space="preserve">出力にかかる時間(ms）</t>
  </si>
  <si>
    <t xml:space="preserve">In_1</t>
  </si>
  <si>
    <t xml:space="preserve">In_1n</t>
  </si>
  <si>
    <t xml:space="preserve">In_2</t>
  </si>
  <si>
    <t xml:space="preserve">In_2n</t>
  </si>
  <si>
    <t xml:space="preserve">In_3</t>
  </si>
  <si>
    <t xml:space="preserve">In_3n</t>
  </si>
  <si>
    <t xml:space="preserve">In_4</t>
  </si>
  <si>
    <t xml:space="preserve">In_4n</t>
  </si>
  <si>
    <t xml:space="preserve">Out_1</t>
  </si>
  <si>
    <t xml:space="preserve">Out_1n</t>
  </si>
  <si>
    <t xml:space="preserve">入力リソース</t>
  </si>
  <si>
    <t xml:space="preserve">入力量</t>
  </si>
  <si>
    <t xml:space="preserve">出力リソース</t>
  </si>
  <si>
    <t xml:space="preserve">出力量</t>
  </si>
  <si>
    <t xml:space="preserve">Level:int</t>
  </si>
  <si>
    <t xml:space="preserve">OutputSec:int</t>
  </si>
  <si>
    <t xml:space="preserve">InputResourceTypes:int[]</t>
  </si>
  <si>
    <t xml:space="preserve">InputValues:int[]</t>
  </si>
  <si>
    <t xml:space="preserve">OutputResourceTypes:int[]</t>
  </si>
  <si>
    <t xml:space="preserve">OutputValues:int[]</t>
  </si>
  <si>
    <t xml:space="preserve">節</t>
  </si>
  <si>
    <t xml:space="preserve">詳細</t>
  </si>
  <si>
    <t xml:space="preserve">DemoID</t>
  </si>
  <si>
    <t xml:space="preserve">Chapter:int</t>
  </si>
  <si>
    <t xml:space="preserve">Section:int</t>
  </si>
  <si>
    <t xml:space="preserve">Description:string</t>
  </si>
  <si>
    <t xml:space="preserve">DemoId:int</t>
  </si>
  <si>
    <t xml:space="preserve">新聞「ついに争いが終結。提言を受け入れ国は調律者を仮導入。早期復旧なるか！？」</t>
  </si>
  <si>
    <t xml:space="preserve">エッジのつなぎ方、依頼の完了方法を学ぶ。</t>
  </si>
  <si>
    <t xml:space="preserve">レベルアップ、出力されたものを使うことで資源が循環すること学ぶ。</t>
  </si>
  <si>
    <t xml:space="preserve">資金の存在と、資金を使って水と電気を出力を増やす方法を学ぶ。リソースバッファで分配を学ぶ。</t>
  </si>
  <si>
    <t xml:space="preserve">資金を使って工場ノードを作ることを覚える。</t>
  </si>
  <si>
    <t xml:space="preserve">-</t>
  </si>
  <si>
    <t xml:space="preserve">金銭の入手方法を学ぶ。</t>
  </si>
  <si>
    <t xml:space="preserve">区の方針決め（次の章の伏線）</t>
  </si>
  <si>
    <t xml:space="preserve">さらなる発展。町を大きくする。</t>
  </si>
  <si>
    <t xml:space="preserve">第２章</t>
  </si>
  <si>
    <t xml:space="preserve">[PrimaryKey]Chapter,Section</t>
  </si>
  <si>
    <t xml:space="preserve">「──本日をもって、暫定統治期間は終了となります。</t>
  </si>
  <si>
    <t xml:space="preserve">長い混乱の時代でした。多くのものが失われました。</t>
  </si>
  <si>
    <t xml:space="preserve">しかし、私たちはまだここにいます。」</t>
  </si>
  <si>
    <t xml:space="preserve">「国は本日付で、各区画への"調律者"派遣を正式に開始します。</t>
  </si>
  <si>
    <t xml:space="preserve">調律者は、皆さんの暮らしを立て直す技術支援者です。</t>
  </si>
  <si>
    <t xml:space="preserve">配属先の区画では、住民の声を聞き、インフラを再構築する権限が与えられます。」</t>
  </si>
  <si>
    <t xml:space="preserve">「私たちに残された資源は、決して豊かではありません。</t>
  </si>
  <si>
    <t xml:space="preserve">ですが、正しく配り、正しくつなげば、人は再び立ち上がれます。</t>
  </si>
  <si>
    <t xml:space="preserve">どうか調律者を信じ、共に歩んでください。」</t>
  </si>
  <si>
    <t xml:space="preserve">「……なお、調律者への要望・相談は各区の掲示板へ。</t>
  </si>
  <si>
    <t xml:space="preserve">あなたの声が、明日のこの街をつくります。」</t>
  </si>
  <si>
    <t xml:space="preserve">「……起動確認。生体認証……完了。</t>
  </si>
  <si>
    <t xml:space="preserve">はじめまして、調律者さま。支援AIのリュミです。」</t>
  </si>
  <si>
    <t xml:space="preserve">「さっきの放送、聞こえていましたか？</t>
  </si>
  <si>
    <t xml:space="preserve">"共に歩んでください"──なかなか立派なことを言いますよね。</t>
  </si>
  <si>
    <t xml:space="preserve">でも、実際に泥をかぶるのは、ぼくらの方です。」</t>
  </si>
  <si>
    <t xml:space="preserve">「ここは第7居住区。通称"ナナク"。</t>
  </si>
  <si>
    <t xml:space="preserve">小さな区画ですが……正直、状態は良くないです。</t>
  </si>
  <si>
    <t xml:space="preserve">水も、電気も、まともに通っていません。」</t>
  </si>
  <si>
    <t xml:space="preserve">「でも、人はいます。</t>
  </si>
  <si>
    <t xml:space="preserve">瓦礫の中で、それでも暮らしている人たちが。」</t>
  </si>
  <si>
    <t xml:space="preserve">「さて──あちらが"掲示板"です。</t>
  </si>
  <si>
    <t xml:space="preserve">住民の声は中央で取りまとめられ、依頼としてここに届きます。</t>
  </si>
  <si>
    <t xml:space="preserve">調律者さまは、この依頼を読んで、叶えていく。</t>
  </si>
  <si>
    <t xml:space="preserve">それがお仕事です。」</t>
  </si>
  <si>
    <t xml:space="preserve">「最初の依頼がもう届いているようですね。</t>
  </si>
  <si>
    <t xml:space="preserve">水と電気──生活の最低限です。</t>
  </si>
  <si>
    <t xml:space="preserve">ぼくがつなぎ方を案内しますから、一緒にやりましょう。」</t>
  </si>
  <si>
    <t xml:space="preserve">ナナク日報（号外）</t>
  </si>
  <si>
    <t xml:space="preserve">「ついに調律者が着任──第7居住区にも復興の光」</t>
  </si>
  <si>
    <t xml:space="preserve">長らく放置されていた当区にも、ようやく調律者が配属された。住民からは期待の声が上がっている。水処理・発電設備の稼働が最優先とのこと。 </t>
  </si>
  <si>
    <t xml:space="preserve">タイトル</t>
  </si>
  <si>
    <t xml:space="preserve">AIセリフ</t>
  </si>
  <si>
    <t xml:space="preserve">対立する依頼</t>
  </si>
  <si>
    <t xml:space="preserve">依頼者の顔</t>
  </si>
  <si>
    <t xml:space="preserve">依頼者の顔ID</t>
  </si>
  <si>
    <t xml:space="preserve">対象ノード{0}</t>
  </si>
  <si>
    <t xml:space="preserve">対象ノード</t>
  </si>
  <si>
    <t xml:space="preserve">数{1}</t>
  </si>
  <si>
    <t xml:space="preserve">レベル{2}</t>
  </si>
  <si>
    <t xml:space="preserve">成功特典</t>
  </si>
  <si>
    <t xml:space="preserve">失敗ペナルティ</t>
  </si>
  <si>
    <t xml:space="preserve">DisplayTitle:string</t>
  </si>
  <si>
    <t xml:space="preserve">Message:string</t>
  </si>
  <si>
    <t xml:space="preserve">ConflictIds:int</t>
  </si>
  <si>
    <t xml:space="preserve">FaceID:int</t>
  </si>
  <si>
    <t xml:space="preserve">Num:int</t>
  </si>
  <si>
    <t xml:space="preserve">Type:int</t>
  </si>
  <si>
    <t xml:space="preserve">TargetNodes:int[]</t>
  </si>
  <si>
    <t xml:space="preserve">SuccesedEffect:int</t>
  </si>
  <si>
    <t xml:space="preserve">FailedEffect:int</t>
  </si>
  <si>
    <t xml:space="preserve">畑に水を</t>
  </si>
  <si>
    <t xml:space="preserve">調律者さん、来てくれたんだな。ありがたい。この畑、もう何日も水が来てないんだ。土はカラカラで、種を蒔いても芽が出やしない。まずは水さえ通してくれれば、こっちでなんとかする。頼むよ。</t>
  </si>
  <si>
    <t xml:space="preserve">寡黙だが実直で、自分の仕事に誇りを持っている方のようです。調律者様に対して過度な期待はしていないです。腕の見せ所ですね。</t>
  </si>
  <si>
    <t xml:space="preserve">農業の人</t>
  </si>
  <si>
    <t xml:space="preserve">出力を上げる</t>
  </si>
  <si>
    <t xml:space="preserve">なし</t>
  </si>
  <si>
    <t xml:space="preserve">暗い部屋はもう嫌</t>
  </si>
  <si>
    <t xml:space="preserve">あのね、あたしのおうち、ずっとまっくらなの。おかあさんが、もうすぐなおるよって言うけど、ずっとなおらない。おみずもでないから、おかあさんいつもつかれてる。なおしてくれるひとがくるって、ほんと？</t>
  </si>
  <si>
    <r>
      <rPr>
        <sz val="10"/>
        <color theme="1"/>
        <rFont val="Segoe UI"/>
        <family val="2"/>
        <charset val="128"/>
      </rPr>
      <t xml:space="preserve">女の子・・ </t>
    </r>
    <r>
      <rPr>
        <sz val="10"/>
        <color theme="1"/>
        <rFont val="Times New Roman"/>
        <family val="1"/>
        <charset val="128"/>
      </rPr>
      <t xml:space="preserve">8</t>
    </r>
    <r>
      <rPr>
        <sz val="10"/>
        <color theme="1"/>
        <rFont val="Segoe UI"/>
        <family val="2"/>
        <charset val="128"/>
      </rPr>
      <t xml:space="preserve">歳くらいでしょうか。  第</t>
    </r>
    <r>
      <rPr>
        <sz val="10"/>
        <color theme="1"/>
        <rFont val="Times New Roman"/>
        <family val="1"/>
        <charset val="128"/>
      </rPr>
      <t xml:space="preserve">7</t>
    </r>
    <r>
      <rPr>
        <sz val="10"/>
        <color theme="1"/>
        <rFont val="Segoe UI"/>
        <family val="2"/>
        <charset val="128"/>
      </rPr>
      <t xml:space="preserve">居住区の復興は全く進んでいないのかもしれません。急いで助けてあげましょう！</t>
    </r>
  </si>
  <si>
    <t xml:space="preserve">小学生（女）</t>
  </si>
  <si>
    <t xml:space="preserve">飯が足りない</t>
  </si>
  <si>
    <t xml:space="preserve">水が通ったのはありがてぇが、肝心の飯がまだだ。畑は動き出したって聞いたが、うちにはまだ回ってきてねぇ。腹が減っちゃ何もできやしない。食料をこっちに回してくれ。</t>
  </si>
  <si>
    <t xml:space="preserve">口は悪いが悪人ではないですよ。・・たぶん。この人の言う通り食料はまだまだ足りてないようです。すべての住居に食料を運んであげましょう。</t>
  </si>
  <si>
    <t xml:space="preserve">中年（男）</t>
  </si>
  <si>
    <t xml:space="preserve">居住モジュール開放</t>
  </si>
  <si>
    <t xml:space="preserve">種の品種を増やしたい</t>
  </si>
  <si>
    <t xml:space="preserve">水が来て、ようやくまともに作物が育つようになった。感謝してるよ。だが正直、今の品種だけじゃ収穫量が心もとない。肥料になるものか、手伝ってくれる人手があれば、もっといい作物が作れるんだが……。</t>
  </si>
  <si>
    <t xml:space="preserve">モジュールのレベルアップでこの人の願いはかなえられそうです。ただ、レベルアップしたモジュールは必要な資源も増えるので気を付けてくださいね。</t>
  </si>
  <si>
    <t xml:space="preserve">複数ノードのレベル上げる</t>
  </si>
  <si>
    <t xml:space="preserve">農業モジュール開放</t>
  </si>
  <si>
    <t xml:space="preserve">瓦礫が邪魔だ</t>
  </si>
  <si>
    <t xml:space="preserve">通路を塞いでる瓦礫、なんとかなりませんか。あれがあると資材の運搬もままならない。人手を出せば片付くはずなんですが、誰が指示を出すかで揉めてて進まないんです。調律者さんの権限で動かしてもらえれば助かります。</t>
  </si>
  <si>
    <t xml:space="preserve">確かに区画の動線は重要です。それに瓦礫は資源として売れますし一石二鳥です。国がやってくれたらもっと復興が早く進んだと思うのですが・・調律者様なら楽勝ですね。</t>
  </si>
  <si>
    <t xml:space="preserve">青年（男）</t>
  </si>
  <si>
    <t xml:space="preserve">ノードの合計の数を下げる</t>
  </si>
  <si>
    <t xml:space="preserve">商業モジュール開放</t>
  </si>
  <si>
    <t xml:space="preserve">うちにも水を</t>
  </si>
  <si>
    <t xml:space="preserve">隣の家にはもう水が来ているのに、うちはまだなんです。子どもが毎日、バケツを持って隣まで水をもらいに行っているんですよ。同じ区画に住んでいるのに、この差はなんなんでしょう。……お願いします。うちにも水を引いてください。</t>
  </si>
  <si>
    <t xml:space="preserve">あ、この方、あの女の子の母親のようです。まだ生活に追われているようですね。あの子ためにも頑張っちゃいましょう。 </t>
  </si>
  <si>
    <t xml:space="preserve">中年（女）</t>
  </si>
  <si>
    <t xml:space="preserve">もっと畑が要る</t>
  </si>
  <si>
    <t xml:space="preserve">ありがとう、おかげで農業の生産は安定してきた。だが、この区画の腹を満たすには畑がひとつじゃ足りない。新しく農地を増やせないか。資金が必要なら上に掛け合ってみてくれ。こっちは土と種の準備はできている。</t>
  </si>
  <si>
    <t xml:space="preserve">この人毎回来ますね。けど食は生活の基盤です。それが分かっているからこそ、みんなの代わりに声を上げてくれているのですね。</t>
  </si>
  <si>
    <t xml:space="preserve">設備増強の許可が下りました</t>
  </si>
  <si>
    <t xml:space="preserve">調律者さま、中央から連絡です。これまでの成果が評価され、資金使用の権限が付与されました。資金を使えば、既存設備の出力を上げることができます。まずは水処理と発電の増強を試してみてください。</t>
  </si>
  <si>
    <r>
      <rPr>
        <sz val="10"/>
        <color theme="1"/>
        <rFont val="Segoe UI"/>
        <family val="2"/>
        <charset val="128"/>
      </rPr>
      <t xml:space="preserve">えへへ。僕も依頼を出してみました。緊張して何度も内容を見直していたので寝不足です（</t>
    </r>
    <r>
      <rPr>
        <sz val="10"/>
        <color theme="1"/>
        <rFont val="Times New Roman"/>
        <family val="1"/>
        <charset val="128"/>
      </rPr>
      <t xml:space="preserve">_ _</t>
    </r>
    <r>
      <rPr>
        <sz val="10"/>
        <color theme="1"/>
        <rFont val="Segoe UI"/>
        <family val="2"/>
        <charset val="128"/>
      </rPr>
      <t xml:space="preserve">）</t>
    </r>
    <r>
      <rPr>
        <sz val="10"/>
        <color theme="1"/>
        <rFont val="Times New Roman"/>
        <family val="1"/>
        <charset val="128"/>
      </rPr>
      <t xml:space="preserve">zZZ</t>
    </r>
  </si>
  <si>
    <t xml:space="preserve">AI</t>
  </si>
  <si>
    <t xml:space="preserve">手を動かしたい</t>
  </si>
  <si>
    <t xml:space="preserve">飯はもらえるようになった。ありがたいよ。だがな、ただ食って寝るだけの毎日はきついんだ。俺は手先を動かしてなんぼの人間なんだよ。工場でもなんでもいい、働ける場所をくれ。道具が作れりゃ、この区画はもっと良くなる。 </t>
  </si>
  <si>
    <t xml:space="preserve">あ、この方は以前も依頼をくれた・・口の悪い・・方ですね。 働く活力がわいてきたようで復興が進んでいるのを感じますね。</t>
  </si>
  <si>
    <t xml:space="preserve">道具が必要だ</t>
  </si>
  <si>
    <t xml:space="preserve">畑は増えたが、道具の方がもう限界でな。鍬も鎌もガタがきてる。ごまかしごまかしやってきたが、そろそろ本格的にまずい。近々工場ができるって聞いたんだが、道具を作れるようになったら回してもらえないか。</t>
  </si>
  <si>
    <t xml:space="preserve">ずっと自分で修理して使ってたってすごいですね。ぜひ工場を作って道具を届けてあげましょう。</t>
  </si>
  <si>
    <t xml:space="preserve">食品加工モジュール開放</t>
  </si>
  <si>
    <t xml:space="preserve">物を売れる場所がほしい</t>
  </si>
  <si>
    <t xml:space="preserve">工場が動き出してから、区画内に物が増えてきましたよね。でも今のままだと作ったものが倉庫に積まれていくだけだ。売る場所があれば金が回る。金が回れば、この区画はもっとやれる。商店を開かせてもらえませんか。</t>
  </si>
  <si>
    <t xml:space="preserve">あ、この方は瓦礫依頼をくれた人ですね。資料に瓦礫を売るを手伝って、通常の倍額で売れたと書かれています。とても有能な方のようですが、倍額って・・本当でしょうか。</t>
  </si>
  <si>
    <t xml:space="preserve">お腹いっぱい食べたい</t>
  </si>
  <si>
    <t xml:space="preserve">配給の食事、量が少なくて……。お母さんはいつも私に多めにくれるけど、お母さん自身はあんまり食べてない気がします。もう少しだけ、食べ物が増えたらいいのに。</t>
  </si>
  <si>
    <t xml:space="preserve">調律者様の手腕でこの区画は急成長を遂げています。ですが、その影響か食料の生産が追い付いていないようです。急いで届けてあげましょう。</t>
  </si>
  <si>
    <t xml:space="preserve">学生（女）</t>
  </si>
  <si>
    <t xml:space="preserve">農業の街にしよう</t>
  </si>
  <si>
    <r>
      <rPr>
        <sz val="10"/>
        <color theme="1"/>
        <rFont val="Segoe UI"/>
        <family val="2"/>
        <charset val="128"/>
      </rPr>
      <t xml:space="preserve">なあ調律者さん、ちょっと聞いてくれ。最近、上の方からこの区画の</t>
    </r>
    <r>
      <rPr>
        <sz val="10"/>
        <color theme="1"/>
        <rFont val="Times New Roman"/>
        <family val="1"/>
        <charset val="128"/>
      </rPr>
      <t xml:space="preserve">"</t>
    </r>
    <r>
      <rPr>
        <sz val="10"/>
        <color theme="1"/>
        <rFont val="Segoe UI"/>
        <family val="2"/>
        <charset val="128"/>
      </rPr>
      <t xml:space="preserve">方針</t>
    </r>
    <r>
      <rPr>
        <sz val="10"/>
        <color theme="1"/>
        <rFont val="Times New Roman"/>
        <family val="1"/>
        <charset val="128"/>
      </rPr>
      <t xml:space="preserve">"</t>
    </r>
    <r>
      <rPr>
        <sz val="10"/>
        <color theme="1"/>
        <rFont val="Segoe UI"/>
        <family val="2"/>
        <charset val="128"/>
      </rPr>
      <t xml:space="preserve">を決めろって話が来てるらしいな。俺はもちろん農業を推すよ。食い物を作れる区画は強い。飢えない街は揺るがない。それが俺の信じてることだ。</t>
    </r>
  </si>
  <si>
    <t xml:space="preserve">この方とは最初からの付き合いですね。依頼の中で食の大切さを教えていただきました。この区画の農業の代表者のような立場になったようです。</t>
  </si>
  <si>
    <t xml:space="preserve">選択</t>
  </si>
  <si>
    <t xml:space="preserve">大規模農業 区画</t>
  </si>
  <si>
    <t xml:space="preserve">ものづくりの街にしよう </t>
  </si>
  <si>
    <t xml:space="preserve">調律者殿、少しお時間を。区画の方針について意見を述べさせてください。我々の工場は今や区画の屋台骨です。他の区画が必要とする道具や部品を供給できる。食料は他から買えばいい。だが技術は、ここでしか育てられない。</t>
  </si>
  <si>
    <t xml:space="preserve">この方は・・！あの口の悪かった人のようです。人って変わるもんですね。働き者でこの区画の労働者の代表のような立場になったようです。</t>
  </si>
  <si>
    <t xml:space="preserve">工場の人</t>
  </si>
  <si>
    <t xml:space="preserve">工業特化 区画</t>
  </si>
  <si>
    <t xml:space="preserve">商いの街にしよう </t>
  </si>
  <si>
    <r>
      <rPr>
        <sz val="10"/>
        <color theme="1"/>
        <rFont val="Segoe UI"/>
        <family val="2"/>
        <charset val="128"/>
      </rPr>
      <t xml:space="preserve">調律者さん、方針の件、僕からも一つ。この区画の強みは</t>
    </r>
    <r>
      <rPr>
        <sz val="10"/>
        <color theme="1"/>
        <rFont val="Times New Roman"/>
        <family val="1"/>
        <charset val="128"/>
      </rPr>
      <t xml:space="preserve">"</t>
    </r>
    <r>
      <rPr>
        <sz val="10"/>
        <color theme="1"/>
        <rFont val="Segoe UI"/>
        <family val="2"/>
        <charset val="128"/>
      </rPr>
      <t xml:space="preserve">位置</t>
    </r>
    <r>
      <rPr>
        <sz val="10"/>
        <color theme="1"/>
        <rFont val="Times New Roman"/>
        <family val="1"/>
        <charset val="128"/>
      </rPr>
      <t xml:space="preserve">"</t>
    </r>
    <r>
      <rPr>
        <sz val="10"/>
        <color theme="1"/>
        <rFont val="Segoe UI"/>
        <family val="2"/>
        <charset val="128"/>
      </rPr>
      <t xml:space="preserve">です。他の区画との中継点として商業を軸にすれば、物も金も人も集まる。生産に特化するより、流通で勝負した方がこの区画は伸びると思います。</t>
    </r>
  </si>
  <si>
    <t xml:space="preserve">商売の鬼の人ですね。この方に売れないものはないと聞いています。・・本当でしょうか。今やこの区画の商業の代表のような立場になったようです。</t>
  </si>
  <si>
    <t xml:space="preserve">巨大商業 区画</t>
  </si>
  <si>
    <t xml:space="preserve">この街を胸を張れる場所に</t>
  </si>
  <si>
    <t xml:space="preserve">あんた、よくやってくれたねえ。水が出て、明かりがついて、飯も食えるようになった。あの頃を思えば夢みたいだよ。……でもね、もう少しだけ欲を言わせておくれ。この区画を、外の人にも胸を張れる場所にしたいんだ。お金がもっと回るようになれば、きっとそれができる。</t>
  </si>
  <si>
    <t xml:space="preserve">かなり昔からここに住んでいる方のようです。胸を張って生きられる区画ってとても良いですね。僕も胸を張りたいので頑張っちゃいます。</t>
  </si>
  <si>
    <t xml:space="preserve">老人（女）</t>
  </si>
  <si>
    <t xml:space="preserve">収入を増やす</t>
  </si>
  <si>
    <t xml:space="preserve">夜道が怖い</t>
  </si>
  <si>
    <t xml:space="preserve">最近、人が増えてきたのはいいんですけど……夜、一人で歩くのがちょっと怖くなりました。前はみんな顔見知りだったのに、今は知らない人も多くて。何か、安心できる仕組みがあるといいんですが。</t>
  </si>
  <si>
    <t xml:space="preserve">人が増えてくるとどうしても犯罪というのは増えてしまいます。悲しいです。必要なモジュールに安全を届けて安心してもらいましょう。</t>
  </si>
  <si>
    <t xml:space="preserve">青年（女）</t>
  </si>
  <si>
    <t xml:space="preserve">Chapter,Section</t>
  </si>
  <si>
    <t xml:space="preserve">この要求を受け入れますか？</t>
  </si>
  <si>
    <t xml:space="preserve">ノードの数を増やす</t>
  </si>
  <si>
    <t xml:space="preserve">{0}ノードを{1}以上にする。</t>
  </si>
  <si>
    <t xml:space="preserve">ノードの数を減らす</t>
  </si>
  <si>
    <t xml:space="preserve">{0}ノードを{1}以下にする。</t>
  </si>
  <si>
    <t xml:space="preserve">Lv.{2}以上の{0}ノードを{1}以上にする。</t>
  </si>
  <si>
    <t xml:space="preserve">全ノードのレベル上げる</t>
  </si>
  <si>
    <t xml:space="preserve">すべての{0}ノードのLvを{2}以下にする。</t>
  </si>
  <si>
    <t xml:space="preserve">全ノードのレベル下げる</t>
  </si>
  <si>
    <t xml:space="preserve">ノードの合計の数を上げる</t>
  </si>
  <si>
    <t xml:space="preserve">{0}ノードの合計を{1}以上にする。</t>
  </si>
  <si>
    <t xml:space="preserve">{0}ノードの合計を{1}以下にする。</t>
  </si>
  <si>
    <t xml:space="preserve">{0}ノードの出力を{1}以上にする。</t>
  </si>
  <si>
    <t xml:space="preserve">資金の調達量を{1}/s以上にする。</t>
  </si>
  <si>
    <t xml:space="preserve">小学生（男）</t>
  </si>
  <si>
    <t xml:space="preserve">学生（男）</t>
  </si>
  <si>
    <t xml:space="preserve">老人（男）</t>
  </si>
  <si>
    <t xml:space="preserve">商業の人</t>
  </si>
  <si>
    <t xml:space="preserve">偉そうな人</t>
  </si>
  <si>
    <t xml:space="preserve">種類</t>
  </si>
  <si>
    <t xml:space="preserve">効果値{1}</t>
  </si>
  <si>
    <t xml:space="preserve">効果時間{3}</t>
  </si>
  <si>
    <t xml:space="preserve">対象素材{2}</t>
  </si>
  <si>
    <t xml:space="preserve">対象資源</t>
  </si>
  <si>
    <t xml:space="preserve">Value:int</t>
  </si>
  <si>
    <t xml:space="preserve">Duration:int</t>
  </si>
  <si>
    <t xml:space="preserve">TargetResources:int[]</t>
  </si>
  <si>
    <t xml:space="preserve">瓦礫の除去</t>
  </si>
  <si>
    <t xml:space="preserve">{1}回の出力でノードが除去される</t>
  </si>
  <si>
    <t xml:space="preserve">{0}を作成できるようになります。</t>
  </si>
  <si>
    <t xml:space="preserve">工業モジュール開放</t>
  </si>
  <si>
    <t xml:space="preserve">{0}の出力が永久に+{1}％</t>
  </si>
  <si>
    <t xml:space="preserve">説明 {0}:ノード {1}:数 {2}:素材</t>
  </si>
  <si>
    <t xml:space="preserve">評価パターン</t>
  </si>
  <si>
    <t xml:space="preserve">付加時のタイプ（1:Input 2:Output 3:TextOnly 100:Eternal）</t>
  </si>
  <si>
    <t xml:space="preserve">TypeId:int</t>
  </si>
  <si>
    <t xml:space="preserve">Evaluation:int</t>
  </si>
  <si>
    <t xml:space="preserve">ViewType:int</t>
  </si>
  <si>
    <t xml:space="preserve">どれか1つの{0}のレベルが{1}上がる。</t>
  </si>
  <si>
    <t xml:space="preserve">{0}のレベル上限が{1}上がる。</t>
  </si>
  <si>
    <t xml:space="preserve">{0}の入力コストが永久に+{1}％</t>
  </si>
  <si>
    <t xml:space="preserve">{0}が追加で{2}を{1}つ出力するようになる。</t>
  </si>
  <si>
    <t xml:space="preserve">{0}の入力に{2}が{1}つ追加で必要になる。</t>
  </si>
  <si>
    <t xml:space="preserve">[PrimaryKey]TypeId</t>
  </si>
</sst>
</file>

<file path=xl/styles.xml><?xml version="1.0" encoding="utf-8"?>
<styleSheet xmlns="http://schemas.openxmlformats.org/spreadsheetml/2006/main">
  <numFmts count="2">
    <numFmt numFmtId="164" formatCode="General"/>
    <numFmt numFmtId="165" formatCode="yyyy/mm/dd"/>
  </numFmts>
  <fonts count="32">
    <font>
      <sz val="11"/>
      <color theme="1"/>
      <name val="ＭＳ Ｐゴシック"/>
      <family val="2"/>
      <charset val="1"/>
    </font>
    <font>
      <sz val="10"/>
      <name val="Arial"/>
      <family val="0"/>
      <charset val="128"/>
    </font>
    <font>
      <sz val="10"/>
      <name val="Arial"/>
      <family val="0"/>
      <charset val="128"/>
    </font>
    <font>
      <sz val="10"/>
      <name val="Arial"/>
      <family val="0"/>
      <charset val="128"/>
    </font>
    <font>
      <sz val="11"/>
      <color theme="1"/>
      <name val="ＭＳ Ｐゴシック"/>
      <family val="2"/>
      <charset val="128"/>
    </font>
    <font>
      <sz val="9"/>
      <color theme="1"/>
      <name val="ＭＳ ゴシック"/>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sz val="11"/>
      <color theme="0"/>
      <name val="ＭＳ Ｐゴシック"/>
      <family val="3"/>
      <charset val="128"/>
    </font>
    <font>
      <b val="true"/>
      <sz val="11"/>
      <color theme="1"/>
      <name val="ＭＳ Ｐゴシック"/>
      <family val="3"/>
      <charset val="128"/>
    </font>
    <font>
      <b val="true"/>
      <u val="single"/>
      <sz val="11"/>
      <color rgb="FFFF0000"/>
      <name val="ＭＳ Ｐゴシック"/>
      <family val="2"/>
      <charset val="128"/>
    </font>
    <font>
      <strike val="true"/>
      <sz val="10"/>
      <color theme="1"/>
      <name val="ＭＳ Ｐゴシック"/>
      <family val="2"/>
      <charset val="128"/>
    </font>
    <font>
      <b val="true"/>
      <sz val="11"/>
      <color rgb="FFFF0000"/>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9"/>
      <color theme="1"/>
      <name val="ＭＳ Ｐゴシック"/>
      <family val="3"/>
      <charset val="128"/>
    </font>
    <font>
      <sz val="11"/>
      <color theme="1"/>
      <name val="ＭＳ ゴシック"/>
      <family val="3"/>
      <charset val="128"/>
    </font>
    <font>
      <sz val="9"/>
      <color theme="1"/>
      <name val="ＭＳ ゴシック"/>
      <family val="3"/>
      <charset val="128"/>
    </font>
    <font>
      <sz val="9"/>
      <color theme="0"/>
      <name val="ＭＳ ゴシック"/>
      <family val="3"/>
      <charset val="128"/>
    </font>
    <font>
      <sz val="10"/>
      <color theme="1"/>
      <name val="ＭＳ ゴシック"/>
      <family val="3"/>
      <charset val="128"/>
    </font>
    <font>
      <sz val="9"/>
      <name val="ＭＳ ゴシック"/>
      <family val="3"/>
      <charset val="128"/>
    </font>
    <font>
      <sz val="9"/>
      <color theme="9" tint="0.5999"/>
      <name val="ＭＳ ゴシック"/>
      <family val="3"/>
      <charset val="128"/>
    </font>
    <font>
      <sz val="11"/>
      <name val="ＭＳ ゴシック"/>
      <family val="3"/>
      <charset val="128"/>
    </font>
    <font>
      <sz val="10"/>
      <color theme="1"/>
      <name val="Times New Roman"/>
      <family val="1"/>
      <charset val="128"/>
    </font>
    <font>
      <i val="true"/>
      <sz val="11"/>
      <color theme="1"/>
      <name val="ＭＳ Ｐゴシック"/>
      <family val="2"/>
      <charset val="1"/>
    </font>
    <font>
      <b val="true"/>
      <sz val="11"/>
      <color theme="1"/>
      <name val="ＭＳ Ｐゴシック"/>
      <family val="2"/>
      <charset val="1"/>
    </font>
    <font>
      <sz val="9"/>
      <color theme="9" tint="0.3999"/>
      <name val="ＭＳ ゴシック"/>
      <family val="3"/>
      <charset val="128"/>
    </font>
    <font>
      <sz val="10"/>
      <color theme="1"/>
      <name val="Segoe UI"/>
      <family val="2"/>
      <charset val="128"/>
    </font>
  </fonts>
  <fills count="20">
    <fill>
      <patternFill patternType="none"/>
    </fill>
    <fill>
      <patternFill patternType="gray125"/>
    </fill>
    <fill>
      <patternFill patternType="solid">
        <fgColor theme="4" tint="-0.25"/>
        <bgColor rgb="FF1F497D"/>
      </patternFill>
    </fill>
    <fill>
      <patternFill patternType="solid">
        <fgColor theme="1" tint="0.3499"/>
        <bgColor rgb="FF604A7B"/>
      </patternFill>
    </fill>
    <fill>
      <patternFill patternType="solid">
        <fgColor theme="6" tint="0.7999"/>
        <bgColor rgb="FFFFFFFF"/>
      </patternFill>
    </fill>
    <fill>
      <patternFill patternType="solid">
        <fgColor theme="3"/>
        <bgColor rgb="FF376092"/>
      </patternFill>
    </fill>
    <fill>
      <patternFill patternType="solid">
        <fgColor rgb="FF92D050"/>
        <bgColor rgb="FFC3D69B"/>
      </patternFill>
    </fill>
    <fill>
      <patternFill patternType="solid">
        <fgColor theme="9" tint="0.3999"/>
        <bgColor rgb="FFFCD5B5"/>
      </patternFill>
    </fill>
    <fill>
      <patternFill patternType="solid">
        <fgColor theme="0" tint="-0.35"/>
        <bgColor rgb="FFD99694"/>
      </patternFill>
    </fill>
    <fill>
      <patternFill patternType="solid">
        <fgColor theme="0"/>
        <bgColor rgb="FFEBF1DE"/>
      </patternFill>
    </fill>
    <fill>
      <patternFill patternType="solid">
        <fgColor rgb="FFFFC000"/>
        <bgColor rgb="FFFF9900"/>
      </patternFill>
    </fill>
    <fill>
      <patternFill patternType="solid">
        <fgColor rgb="FF0070C0"/>
        <bgColor rgb="FF008080"/>
      </patternFill>
    </fill>
    <fill>
      <patternFill patternType="solid">
        <fgColor theme="7" tint="-0.25"/>
        <bgColor rgb="FF595959"/>
      </patternFill>
    </fill>
    <fill>
      <patternFill patternType="solid">
        <fgColor theme="6" tint="-0.25"/>
        <bgColor rgb="FF339966"/>
      </patternFill>
    </fill>
    <fill>
      <patternFill patternType="solid">
        <fgColor theme="5" tint="-0.25"/>
        <bgColor rgb="FF993366"/>
      </patternFill>
    </fill>
    <fill>
      <patternFill patternType="solid">
        <fgColor rgb="FFFFFF00"/>
        <bgColor rgb="FFFFFF00"/>
      </patternFill>
    </fill>
    <fill>
      <patternFill patternType="solid">
        <fgColor theme="5" tint="0.3999"/>
        <bgColor rgb="FFFF99CC"/>
      </patternFill>
    </fill>
    <fill>
      <patternFill patternType="solid">
        <fgColor theme="9" tint="-0.25"/>
        <bgColor rgb="FFFF9900"/>
      </patternFill>
    </fill>
    <fill>
      <patternFill patternType="solid">
        <fgColor theme="9" tint="0.5999"/>
        <bgColor rgb="FFFAC090"/>
      </patternFill>
    </fill>
    <fill>
      <patternFill patternType="solid">
        <fgColor theme="1" tint="0.2499"/>
        <bgColor rgb="FF595959"/>
      </patternFill>
    </fill>
  </fills>
  <borders count="4">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right style="thin"/>
      <top style="thin"/>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78">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true">
      <alignment horizontal="general" vertical="center" textRotation="0" wrapText="false" indent="0" shrinkToFit="false"/>
      <protection locked="true" hidden="false"/>
    </xf>
    <xf numFmtId="164" fontId="4" fillId="2" borderId="0" xfId="2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3" borderId="1" xfId="20" applyFont="true" applyBorder="true" applyAlignment="true" applyProtection="true">
      <alignment horizontal="center" vertical="center" textRotation="0" wrapText="false" indent="0" shrinkToFit="false"/>
      <protection locked="true" hidden="false"/>
    </xf>
    <xf numFmtId="164" fontId="9" fillId="3" borderId="1" xfId="20" applyFont="true" applyBorder="true" applyAlignment="true" applyProtection="true">
      <alignment horizontal="center" vertical="center" textRotation="0" wrapText="false" indent="0" shrinkToFit="false"/>
      <protection locked="true" hidden="false"/>
    </xf>
    <xf numFmtId="164" fontId="10" fillId="4" borderId="2" xfId="20" applyFont="true" applyBorder="true" applyAlignment="true" applyProtection="true">
      <alignment horizontal="center" vertical="center" textRotation="0" wrapText="false" indent="0" shrinkToFit="false"/>
      <protection locked="true" hidden="false"/>
    </xf>
    <xf numFmtId="164" fontId="8" fillId="5" borderId="1" xfId="20" applyFont="true" applyBorder="tru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false" indent="0" shrinkToFit="false"/>
      <protection locked="true" hidden="false"/>
    </xf>
    <xf numFmtId="164" fontId="4" fillId="0" borderId="0" xfId="20" applyFont="true" applyBorder="fals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3" fillId="0" borderId="0" xfId="20" applyFont="true" applyBorder="false" applyAlignment="true" applyProtection="true">
      <alignment horizontal="general"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5" fillId="0" borderId="0" xfId="0" applyFont="true" applyBorder="false" applyAlignment="true" applyProtection="true">
      <alignment horizontal="general" vertical="center" textRotation="0" wrapText="false" indent="0" shrinkToFit="false"/>
      <protection locked="true" hidden="false"/>
    </xf>
    <xf numFmtId="164" fontId="16"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general" vertical="center" textRotation="0" wrapText="false" indent="0" shrinkToFit="false"/>
      <protection locked="true" hidden="false"/>
    </xf>
    <xf numFmtId="164" fontId="4" fillId="0" borderId="0" xfId="21"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6" fillId="0" borderId="0" xfId="25" applyFont="true" applyBorder="false" applyAlignment="true" applyProtection="true">
      <alignment horizontal="general" vertical="center" textRotation="0" wrapText="false" indent="0" shrinkToFit="false"/>
      <protection locked="true" hidden="false"/>
    </xf>
    <xf numFmtId="164" fontId="8"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1" applyFont="true" applyBorder="true" applyAlignment="true" applyProtection="true">
      <alignment horizontal="center" vertical="center" textRotation="0" wrapText="false" indent="0" shrinkToFit="false"/>
      <protection locked="true" hidden="false"/>
    </xf>
    <xf numFmtId="164" fontId="10" fillId="4" borderId="2" xfId="25" applyFont="true" applyBorder="true" applyAlignment="true" applyProtection="true">
      <alignment horizontal="center"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right" vertical="center" textRotation="0" wrapText="false" indent="0" shrinkToFit="false"/>
      <protection locked="true" hidden="false"/>
    </xf>
    <xf numFmtId="164" fontId="11"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false" indent="0" shrinkToFit="false"/>
      <protection locked="true" hidden="false"/>
    </xf>
    <xf numFmtId="164" fontId="7" fillId="0" borderId="0" xfId="25" applyFont="true" applyBorder="false" applyAlignment="true" applyProtection="true">
      <alignment horizontal="general" vertical="center" textRotation="0" wrapText="false" indent="0" shrinkToFit="false"/>
      <protection locked="true" hidden="false"/>
    </xf>
    <xf numFmtId="164" fontId="12"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true" indent="0" shrinkToFit="false"/>
      <protection locked="true" hidden="false"/>
    </xf>
    <xf numFmtId="164" fontId="19" fillId="0" borderId="1" xfId="25" applyFont="true" applyBorder="true" applyAlignment="true" applyProtection="true">
      <alignment horizontal="left" vertical="center" textRotation="0" wrapText="false" indent="0" shrinkToFit="false"/>
      <protection locked="true" hidden="false"/>
    </xf>
    <xf numFmtId="164" fontId="13" fillId="0" borderId="0" xfId="25" applyFont="true" applyBorder="false" applyAlignment="true" applyProtection="true">
      <alignment horizontal="general"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true" indent="0" shrinkToFit="false"/>
      <protection locked="true" hidden="false"/>
    </xf>
    <xf numFmtId="164" fontId="14" fillId="0" borderId="0" xfId="25" applyFont="true" applyBorder="false" applyAlignment="true" applyProtection="true">
      <alignment horizontal="general" vertical="center" textRotation="0" wrapText="false" indent="0" shrinkToFit="false"/>
      <protection locked="true" hidden="false"/>
    </xf>
    <xf numFmtId="164" fontId="15" fillId="0" borderId="0" xfId="25" applyFont="true" applyBorder="false" applyAlignment="true" applyProtection="true">
      <alignment horizontal="general" vertical="center" textRotation="0" wrapText="false" indent="0" shrinkToFit="false"/>
      <protection locked="true" hidden="false"/>
    </xf>
    <xf numFmtId="164" fontId="16" fillId="0" borderId="0" xfId="25" applyFont="true" applyBorder="false" applyAlignment="true" applyProtection="true">
      <alignment horizontal="general" vertical="center" textRotation="0" wrapText="false" indent="0" shrinkToFit="false"/>
      <protection locked="true" hidden="false"/>
    </xf>
    <xf numFmtId="164" fontId="7" fillId="0" borderId="0" xfId="21" applyFont="true" applyBorder="false" applyAlignment="true" applyProtection="true">
      <alignment horizontal="general" vertical="center" textRotation="0" wrapText="false" indent="0" shrinkToFit="false"/>
      <protection locked="true" hidden="false"/>
    </xf>
    <xf numFmtId="164" fontId="18" fillId="0" borderId="0" xfId="25"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21" fillId="6" borderId="0" xfId="0" applyFont="true" applyBorder="false" applyAlignment="true" applyProtection="true">
      <alignment horizontal="general" vertical="center" textRotation="0" wrapText="false" indent="0" shrinkToFit="false"/>
      <protection locked="true" hidden="false"/>
    </xf>
    <xf numFmtId="164" fontId="22" fillId="5" borderId="1" xfId="0" applyFont="true" applyBorder="true" applyAlignment="true" applyProtection="true">
      <alignment horizontal="general" vertical="center" textRotation="0" wrapText="false" indent="0" shrinkToFit="false"/>
      <protection locked="true" hidden="false"/>
    </xf>
    <xf numFmtId="164" fontId="21" fillId="7"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false" indent="0" shrinkToFit="false"/>
      <protection locked="true" hidden="false"/>
    </xf>
    <xf numFmtId="164" fontId="23" fillId="9" borderId="1" xfId="0" applyFont="true" applyBorder="true" applyAlignment="true" applyProtection="true">
      <alignment horizontal="general" vertical="center" textRotation="0" wrapText="false" indent="0" shrinkToFit="false"/>
      <protection locked="true" hidden="false"/>
    </xf>
    <xf numFmtId="164" fontId="23" fillId="10" borderId="1" xfId="0" applyFont="true" applyBorder="true" applyAlignment="true" applyProtection="true">
      <alignment horizontal="general" vertical="center" textRotation="0" wrapText="false" indent="0" shrinkToFit="false"/>
      <protection locked="true" hidden="false"/>
    </xf>
    <xf numFmtId="164" fontId="23" fillId="11" borderId="1" xfId="0" applyFont="true" applyBorder="true" applyAlignment="true" applyProtection="true">
      <alignment horizontal="general" vertical="center" textRotation="0" wrapText="false" indent="0" shrinkToFit="false"/>
      <protection locked="true" hidden="false"/>
    </xf>
    <xf numFmtId="164" fontId="23" fillId="12" borderId="1" xfId="0" applyFont="true" applyBorder="true" applyAlignment="true" applyProtection="true">
      <alignment horizontal="general" vertical="center" textRotation="0" wrapText="false" indent="0" shrinkToFit="false"/>
      <protection locked="true" hidden="false"/>
    </xf>
    <xf numFmtId="164" fontId="23" fillId="13" borderId="1" xfId="0" applyFont="true" applyBorder="true" applyAlignment="true" applyProtection="true">
      <alignment horizontal="general" vertical="center" textRotation="0" wrapText="false" indent="0" shrinkToFit="false"/>
      <protection locked="true" hidden="false"/>
    </xf>
    <xf numFmtId="164" fontId="23" fillId="14" borderId="1" xfId="0" applyFont="true" applyBorder="true" applyAlignment="true" applyProtection="true">
      <alignment horizontal="general" vertical="center" textRotation="0" wrapText="false" indent="0" shrinkToFit="false"/>
      <protection locked="true" hidden="false"/>
    </xf>
    <xf numFmtId="164" fontId="23" fillId="15" borderId="1" xfId="0" applyFont="true" applyBorder="true" applyAlignment="true" applyProtection="true">
      <alignment horizontal="general" vertical="center" textRotation="0" wrapText="false" indent="0" shrinkToFit="false"/>
      <protection locked="true" hidden="false"/>
    </xf>
    <xf numFmtId="164" fontId="23" fillId="16" borderId="1" xfId="0" applyFont="true" applyBorder="true" applyAlignment="true" applyProtection="true">
      <alignment horizontal="general" vertical="center" textRotation="0" wrapText="false" indent="0" shrinkToFit="false"/>
      <protection locked="true" hidden="false"/>
    </xf>
    <xf numFmtId="164" fontId="20" fillId="17" borderId="0" xfId="0" applyFont="true" applyBorder="false" applyAlignment="true" applyProtection="true">
      <alignment horizontal="general" vertical="center" textRotation="0" wrapText="false" indent="0" shrinkToFit="false"/>
      <protection locked="true" hidden="false"/>
    </xf>
    <xf numFmtId="164" fontId="24" fillId="7" borderId="1" xfId="0" applyFont="true" applyBorder="true" applyAlignment="true" applyProtection="true">
      <alignment horizontal="general" vertical="center" textRotation="0" wrapText="false" indent="0" shrinkToFit="false"/>
      <protection locked="true" hidden="false"/>
    </xf>
    <xf numFmtId="164" fontId="25" fillId="5" borderId="1" xfId="0" applyFont="true" applyBorder="true" applyAlignment="true" applyProtection="true">
      <alignment horizontal="general" vertical="center" textRotation="0" wrapText="false" indent="0" shrinkToFit="false"/>
      <protection locked="true" hidden="false"/>
    </xf>
    <xf numFmtId="164" fontId="26" fillId="8" borderId="1" xfId="0" applyFont="true" applyBorder="true" applyAlignment="true" applyProtection="true">
      <alignment horizontal="general" vertical="center" textRotation="0" wrapText="false" indent="0" shrinkToFit="false"/>
      <protection locked="true" hidden="false"/>
    </xf>
    <xf numFmtId="164" fontId="21" fillId="0" borderId="1" xfId="0" applyFont="true" applyBorder="true" applyAlignment="true" applyProtection="true">
      <alignment horizontal="general" vertical="center" textRotation="0" wrapText="false" indent="0" shrinkToFit="false"/>
      <protection locked="true" hidden="false"/>
    </xf>
    <xf numFmtId="164" fontId="27" fillId="0"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tru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28"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29"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4" fillId="18" borderId="1" xfId="0" applyFont="true" applyBorder="true" applyAlignment="true" applyProtection="true">
      <alignment horizontal="general" vertical="center" textRotation="0" wrapText="false" indent="0" shrinkToFit="false"/>
      <protection locked="true" hidden="false"/>
    </xf>
    <xf numFmtId="164" fontId="30" fillId="5" borderId="1" xfId="0" applyFont="true" applyBorder="true" applyAlignment="true" applyProtection="true">
      <alignment horizontal="general" vertical="center" textRotation="0" wrapText="false" indent="0" shrinkToFit="false"/>
      <protection locked="true" hidden="false"/>
    </xf>
    <xf numFmtId="164" fontId="21" fillId="18"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true" indent="0" shrinkToFit="false"/>
      <protection locked="true" hidden="false"/>
    </xf>
    <xf numFmtId="164" fontId="0" fillId="0" borderId="3" xfId="0" applyFont="true" applyBorder="true" applyAlignment="true" applyProtection="true">
      <alignment horizontal="general" vertical="bottom" textRotation="0" wrapText="true" indent="0" shrinkToFit="false"/>
      <protection locked="true" hidden="false"/>
    </xf>
    <xf numFmtId="164" fontId="30" fillId="19" borderId="1" xfId="0" applyFont="true" applyBorder="true" applyAlignment="true" applyProtection="true">
      <alignment horizontal="general" vertical="center"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標準 16" xfId="20"/>
    <cellStyle name="標準 16 2" xfId="21"/>
    <cellStyle name="標準 2" xfId="22"/>
    <cellStyle name="標準 2 2" xfId="23"/>
    <cellStyle name="標準 3" xfId="24"/>
    <cellStyle name="標準 4" xfId="25"/>
  </cellStyles>
  <colors>
    <indexedColors>
      <rgbColor rgb="FF000000"/>
      <rgbColor rgb="FFFFFFFF"/>
      <rgbColor rgb="FFFF0000"/>
      <rgbColor rgb="FF00E266"/>
      <rgbColor rgb="FF0000FF"/>
      <rgbColor rgb="FFFFFF00"/>
      <rgbColor rgb="FFFF00FF"/>
      <rgbColor rgb="FF00FFFF"/>
      <rgbColor rgb="FF800000"/>
      <rgbColor rgb="FF008000"/>
      <rgbColor rgb="FF000080"/>
      <rgbColor rgb="FF77933C"/>
      <rgbColor rgb="FF800080"/>
      <rgbColor rgb="FF008080"/>
      <rgbColor rgb="FFC3D69B"/>
      <rgbColor rgb="FF595959"/>
      <rgbColor rgb="FF9999FF"/>
      <rgbColor rgb="FF953735"/>
      <rgbColor rgb="FFEBF1DE"/>
      <rgbColor rgb="FFCCFFFF"/>
      <rgbColor rgb="FF660066"/>
      <rgbColor rgb="FFD99694"/>
      <rgbColor rgb="FF0070C0"/>
      <rgbColor rgb="FFB7DEE8"/>
      <rgbColor rgb="FF000080"/>
      <rgbColor rgb="FFFF00FF"/>
      <rgbColor rgb="FFFFFF00"/>
      <rgbColor rgb="FF00FFFF"/>
      <rgbColor rgb="FF800080"/>
      <rgbColor rgb="FF800000"/>
      <rgbColor rgb="FF008080"/>
      <rgbColor rgb="FF0000FF"/>
      <rgbColor rgb="FF00CCFF"/>
      <rgbColor rgb="FFCCFFFF"/>
      <rgbColor rgb="FFCCFFCC"/>
      <rgbColor rgb="FFFCD5B5"/>
      <rgbColor rgb="FF99CCFF"/>
      <rgbColor rgb="FFFF99CC"/>
      <rgbColor rgb="FFCC99FF"/>
      <rgbColor rgb="FFFAC090"/>
      <rgbColor rgb="FF376092"/>
      <rgbColor rgb="FF33CCCC"/>
      <rgbColor rgb="FF92D050"/>
      <rgbColor rgb="FFFFC000"/>
      <rgbColor rgb="FFFF9900"/>
      <rgbColor rgb="FFE46C0A"/>
      <rgbColor rgb="FF604A7B"/>
      <rgbColor rgb="FFA6A6A6"/>
      <rgbColor rgb="FF003366"/>
      <rgbColor rgb="FF339966"/>
      <rgbColor rgb="FF003300"/>
      <rgbColor rgb="FF4F6228"/>
      <rgbColor rgb="FF993300"/>
      <rgbColor rgb="FF993366"/>
      <rgbColor rgb="FF1F497D"/>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5400</xdr:colOff>
          <xdr:row>2</xdr:row>
          <xdr:rowOff>16200</xdr:rowOff>
        </xdr:from>
        <xdr:to>
          <xdr:col>4</xdr:col>
          <xdr:colOff>-59760</xdr:colOff>
          <xdr:row>3</xdr:row>
          <xdr:rowOff>97920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0</xdr:colOff>
          <xdr:row>2</xdr:row>
          <xdr:rowOff>5400</xdr:rowOff>
        </xdr:from>
        <xdr:to>
          <xdr:col>6</xdr:col>
          <xdr:colOff>-59760</xdr:colOff>
          <xdr:row>3</xdr:row>
          <xdr:rowOff>174960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テーマ">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J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ColWidth="9.00390625" defaultRowHeight="12.75" customHeight="false" zeroHeight="false" outlineLevelRow="0" outlineLevelCol="0"/>
  <cols>
    <col collapsed="false" customWidth="true" hidden="false" outlineLevel="0" max="1" min="1" style="1" width="32.45"/>
    <col collapsed="false" customWidth="true" hidden="false" outlineLevel="0" max="2" min="2" style="1" width="19.36"/>
    <col collapsed="false" customWidth="false" hidden="false" outlineLevel="0" max="3" min="3" style="1" width="9"/>
    <col collapsed="false" customWidth="true" hidden="false" outlineLevel="0" max="4" min="4" style="1" width="25"/>
    <col collapsed="false" customWidth="false" hidden="false" outlineLevel="0" max="5" min="5" style="1" width="9"/>
    <col collapsed="false" customWidth="true" hidden="false" outlineLevel="0" max="6" min="6" style="1" width="2"/>
    <col collapsed="false" customWidth="true" hidden="false" outlineLevel="0" max="7" min="7" style="2" width="2"/>
    <col collapsed="false" customWidth="true" hidden="false" outlineLevel="0" max="8" min="8" style="1" width="2"/>
    <col collapsed="false" customWidth="true" hidden="false" outlineLevel="0" max="9" min="9" style="3" width="2.45"/>
    <col collapsed="false" customWidth="true" hidden="false" outlineLevel="0" max="10" min="10" style="4" width="10.27"/>
    <col collapsed="false" customWidth="false" hidden="false" outlineLevel="0" max="16384" min="11" style="1" width="9"/>
  </cols>
  <sheetData>
    <row r="1" customFormat="false" ht="13.8" hidden="false" customHeight="false" outlineLevel="0" collapsed="false">
      <c r="A1" s="5" t="s">
        <v>0</v>
      </c>
      <c r="B1" s="6" t="s">
        <v>1</v>
      </c>
      <c r="D1" s="7" t="s">
        <v>2</v>
      </c>
      <c r="E1" s="7" t="s">
        <v>3</v>
      </c>
      <c r="J1" s="1"/>
    </row>
    <row r="2" customFormat="false" ht="13.8" hidden="false" customHeight="false" outlineLevel="0" collapsed="false">
      <c r="A2" s="8" t="s">
        <v>4</v>
      </c>
      <c r="B2" s="9" t="s">
        <v>5</v>
      </c>
      <c r="D2" s="10"/>
      <c r="I2" s="11" t="s">
        <v>6</v>
      </c>
      <c r="J2" s="1"/>
    </row>
    <row r="3" customFormat="false" ht="13.8" hidden="false" customHeight="false" outlineLevel="0" collapsed="false">
      <c r="A3" s="8" t="s">
        <v>7</v>
      </c>
      <c r="B3" s="12" t="s">
        <v>8</v>
      </c>
      <c r="J3" s="4" t="s">
        <v>9</v>
      </c>
    </row>
    <row r="4" customFormat="false" ht="13.8" hidden="false" customHeight="false" outlineLevel="0" collapsed="false">
      <c r="A4" s="8" t="s">
        <v>10</v>
      </c>
      <c r="B4" s="12" t="s">
        <v>11</v>
      </c>
      <c r="J4" s="13" t="s">
        <v>12</v>
      </c>
    </row>
    <row r="5" customFormat="false" ht="13.8" hidden="false" customHeight="false" outlineLevel="0" collapsed="false">
      <c r="A5" s="8" t="s">
        <v>13</v>
      </c>
      <c r="B5" s="12" t="s">
        <v>14</v>
      </c>
      <c r="J5" s="4" t="s">
        <v>15</v>
      </c>
    </row>
    <row r="6" customFormat="false" ht="13.8" hidden="false" customHeight="false" outlineLevel="0" collapsed="false">
      <c r="A6" s="8" t="s">
        <v>16</v>
      </c>
      <c r="B6" s="12" t="s">
        <v>17</v>
      </c>
      <c r="D6" s="14" t="str">
        <f aca="true">IF(MID(CELL("filename",A1),FIND("[",CELL("filename",A1))+1,FIND("]",CELL("filename",A1))-FIND("[",CELL("filename",A1))-1)="エクセル用ツール.xlsm","ここからの直接起動はできません！","")</f>
        <v/>
      </c>
    </row>
    <row r="7" customFormat="false" ht="13.8" hidden="false" customHeight="false" outlineLevel="0" collapsed="false">
      <c r="A7" s="8" t="s">
        <v>18</v>
      </c>
      <c r="B7" s="12" t="s">
        <v>19</v>
      </c>
      <c r="I7" s="15" t="s">
        <v>20</v>
      </c>
    </row>
    <row r="8" customFormat="false" ht="13.8" hidden="false" customHeight="false" outlineLevel="0" collapsed="false">
      <c r="A8" s="8" t="s">
        <v>21</v>
      </c>
      <c r="B8" s="12" t="s">
        <v>22</v>
      </c>
      <c r="J8" s="4" t="s">
        <v>23</v>
      </c>
    </row>
    <row r="9" customFormat="false" ht="13.8" hidden="false" customHeight="false" outlineLevel="0" collapsed="false">
      <c r="A9" s="8" t="s">
        <v>24</v>
      </c>
      <c r="B9" s="12" t="s">
        <v>25</v>
      </c>
      <c r="J9" s="4" t="s">
        <v>26</v>
      </c>
    </row>
    <row r="10" customFormat="false" ht="13.8" hidden="false" customHeight="false" outlineLevel="0" collapsed="false">
      <c r="A10" s="8" t="s">
        <v>27</v>
      </c>
      <c r="B10" s="12" t="s">
        <v>28</v>
      </c>
      <c r="J10" s="4" t="s">
        <v>29</v>
      </c>
    </row>
    <row r="11" customFormat="false" ht="13.8" hidden="false" customHeight="false" outlineLevel="0" collapsed="false">
      <c r="A11" s="8" t="s">
        <v>30</v>
      </c>
      <c r="B11" s="12" t="s">
        <v>31</v>
      </c>
      <c r="I11" s="16"/>
      <c r="J11" s="4" t="s">
        <v>32</v>
      </c>
    </row>
    <row r="12" customFormat="false" ht="13.8" hidden="false" customHeight="false" outlineLevel="0" collapsed="false">
      <c r="I12" s="16"/>
    </row>
    <row r="13" customFormat="false" ht="13.8" hidden="false" customHeight="false" outlineLevel="0" collapsed="false">
      <c r="I13" s="17" t="s">
        <v>33</v>
      </c>
    </row>
    <row r="14" customFormat="false" ht="13.8" hidden="false" customHeight="false" outlineLevel="0" collapsed="false">
      <c r="I14" s="16"/>
    </row>
    <row r="15" customFormat="false" ht="13.8" hidden="false" customHeight="false" outlineLevel="0" collapsed="false">
      <c r="J15" s="4" t="s">
        <v>34</v>
      </c>
    </row>
    <row r="16" customFormat="false" ht="13.8" hidden="false" customHeight="false" outlineLevel="0" collapsed="false">
      <c r="J16" s="4" t="s">
        <v>35</v>
      </c>
    </row>
    <row r="17" customFormat="false" ht="13.8" hidden="false" customHeight="false" outlineLevel="0" collapsed="false"/>
    <row r="18" customFormat="false" ht="13.8" hidden="false" customHeight="false" outlineLevel="0" collapsed="false">
      <c r="J18" s="4" t="s">
        <v>36</v>
      </c>
    </row>
    <row r="19" customFormat="false" ht="13.8" hidden="false" customHeight="false" outlineLevel="0" collapsed="false">
      <c r="J19" s="4" t="s">
        <v>37</v>
      </c>
    </row>
    <row r="20" customFormat="false" ht="13.8" hidden="false" customHeight="false" outlineLevel="0" collapsed="false"/>
    <row r="21" customFormat="false" ht="13.8" hidden="false" customHeight="false" outlineLevel="0" collapsed="false">
      <c r="J21" s="4" t="s">
        <v>38</v>
      </c>
    </row>
    <row r="22" customFormat="false" ht="13.8" hidden="false" customHeight="false" outlineLevel="0" collapsed="false">
      <c r="J22" s="4" t="s">
        <v>39</v>
      </c>
    </row>
    <row r="23" customFormat="false" ht="13.8" hidden="false" customHeight="false" outlineLevel="0" collapsed="false"/>
    <row r="24" customFormat="false" ht="13.8" hidden="false" customHeight="false" outlineLevel="0" collapsed="false">
      <c r="J24" s="4" t="s">
        <v>40</v>
      </c>
    </row>
    <row r="25" customFormat="false" ht="13.8" hidden="false" customHeight="false" outlineLevel="0" collapsed="false">
      <c r="J25" s="4" t="s">
        <v>41</v>
      </c>
    </row>
    <row r="26" customFormat="false" ht="13.8" hidden="false" customHeight="false" outlineLevel="0" collapsed="false">
      <c r="J26" s="4" t="s">
        <v>42</v>
      </c>
    </row>
    <row r="27" customFormat="false" ht="13.8" hidden="false" customHeight="false" outlineLevel="0" collapsed="false">
      <c r="J27" s="4" t="s">
        <v>43</v>
      </c>
    </row>
    <row r="28" customFormat="false" ht="13.8" hidden="false" customHeight="false" outlineLevel="0" collapsed="false"/>
    <row r="29" customFormat="false" ht="13.8" hidden="false" customHeight="false" outlineLevel="0" collapsed="false">
      <c r="I29" s="18"/>
      <c r="J29" s="4" t="s">
        <v>44</v>
      </c>
    </row>
    <row r="30" customFormat="false" ht="13.8" hidden="false" customHeight="false" outlineLevel="0" collapsed="false">
      <c r="J30" s="4" t="s">
        <v>45</v>
      </c>
    </row>
    <row r="31" customFormat="false" ht="13.8" hidden="false" customHeight="false" outlineLevel="0" collapsed="false">
      <c r="J31" s="4" t="s">
        <v>46</v>
      </c>
    </row>
    <row r="32" customFormat="false" ht="13.8" hidden="false" customHeight="false" outlineLevel="0" collapsed="false"/>
    <row r="33" customFormat="false" ht="13.8" hidden="false" customHeight="false" outlineLevel="0" collapsed="false">
      <c r="J33" s="4" t="s">
        <v>47</v>
      </c>
    </row>
    <row r="34" customFormat="false" ht="13.8" hidden="false" customHeight="false" outlineLevel="0" collapsed="false">
      <c r="J34" s="4" t="s">
        <v>48</v>
      </c>
    </row>
    <row r="35" customFormat="false" ht="13.8" hidden="false" customHeight="false" outlineLevel="0" collapsed="false">
      <c r="J35" s="4" t="s">
        <v>49</v>
      </c>
    </row>
    <row r="36" customFormat="false" ht="13.8" hidden="false" customHeight="false" outlineLevel="0" collapsed="false"/>
    <row r="37" customFormat="false" ht="13.8" hidden="false" customHeight="false" outlineLevel="0" collapsed="false">
      <c r="J37" s="4" t="s">
        <v>50</v>
      </c>
    </row>
    <row r="38" customFormat="false" ht="13.8" hidden="false" customHeight="false" outlineLevel="0" collapsed="false">
      <c r="J38" s="4" t="s">
        <v>51</v>
      </c>
    </row>
    <row r="39" customFormat="false" ht="13.8" hidden="false" customHeight="false" outlineLevel="0" collapsed="false">
      <c r="J39" s="4" t="s">
        <v>52</v>
      </c>
    </row>
    <row r="40" customFormat="false" ht="13.8" hidden="false" customHeight="false" outlineLevel="0" collapsed="false"/>
    <row r="41" customFormat="false" ht="13.8" hidden="false" customHeight="false" outlineLevel="0" collapsed="false">
      <c r="I41" s="18" t="s">
        <v>53</v>
      </c>
    </row>
    <row r="42" customFormat="false" ht="13.8" hidden="false" customHeight="false" outlineLevel="0" collapsed="false">
      <c r="J42" s="4" t="s">
        <v>54</v>
      </c>
    </row>
    <row r="43" customFormat="false" ht="13.8" hidden="false" customHeight="false" outlineLevel="0" collapsed="false">
      <c r="J43" s="4" t="s">
        <v>55</v>
      </c>
    </row>
    <row r="44" customFormat="false" ht="13.8" hidden="false" customHeight="false" outlineLevel="0" collapsed="false">
      <c r="J44" s="4" t="s">
        <v>56</v>
      </c>
    </row>
    <row r="45" customFormat="false" ht="13.8" hidden="false" customHeight="false" outlineLevel="0" collapsed="false"/>
    <row r="46" customFormat="false" ht="13.8" hidden="false" customHeight="false" outlineLevel="0" collapsed="false">
      <c r="J46" s="4" t="s">
        <v>57</v>
      </c>
    </row>
    <row r="47" customFormat="false" ht="13.8" hidden="false" customHeight="false" outlineLevel="0" collapsed="false">
      <c r="J47" s="4" t="s">
        <v>58</v>
      </c>
    </row>
    <row r="48" customFormat="false" ht="13.8" hidden="false" customHeight="false" outlineLevel="0" collapsed="false"/>
    <row r="49" customFormat="false" ht="13.8" hidden="false" customHeight="false" outlineLevel="0" collapsed="false">
      <c r="J49" s="4" t="s">
        <v>59</v>
      </c>
    </row>
    <row r="50" customFormat="false" ht="13.8" hidden="false" customHeight="false" outlineLevel="0" collapsed="false">
      <c r="J50" s="4" t="s">
        <v>60</v>
      </c>
    </row>
    <row r="51" customFormat="false" ht="13.8" hidden="false" customHeight="false" outlineLevel="0" collapsed="false">
      <c r="J51" s="4" t="s">
        <v>61</v>
      </c>
    </row>
    <row r="52" customFormat="false" ht="13.8" hidden="false" customHeight="false" outlineLevel="0" collapsed="false"/>
    <row r="53" customFormat="false" ht="13.8" hidden="false" customHeight="false" outlineLevel="0" collapsed="false">
      <c r="J53" s="4" t="s">
        <v>62</v>
      </c>
    </row>
    <row r="54" customFormat="false" ht="13.8" hidden="false" customHeight="false" outlineLevel="0" collapsed="false">
      <c r="J54" s="4" t="s">
        <v>63</v>
      </c>
    </row>
    <row r="55" customFormat="false" ht="13.8" hidden="false" customHeight="false" outlineLevel="0" collapsed="false"/>
    <row r="56" customFormat="false" ht="13.8" hidden="false" customHeight="false" outlineLevel="0" collapsed="false">
      <c r="J56" s="4" t="s">
        <v>64</v>
      </c>
    </row>
    <row r="57" customFormat="false" ht="13.8" hidden="false" customHeight="false" outlineLevel="0" collapsed="false">
      <c r="J57" s="4" t="s">
        <v>65</v>
      </c>
    </row>
    <row r="58" customFormat="false" ht="13.8" hidden="false" customHeight="false" outlineLevel="0" collapsed="false"/>
    <row r="59" customFormat="false" ht="13.8" hidden="false" customHeight="false" outlineLevel="0" collapsed="false">
      <c r="J59" s="4" t="s">
        <v>66</v>
      </c>
    </row>
    <row r="60" customFormat="false" ht="13.8" hidden="false" customHeight="false" outlineLevel="0" collapsed="false">
      <c r="J60" s="4" t="s">
        <v>67</v>
      </c>
    </row>
    <row r="62" customFormat="false" ht="12.75" hidden="false" customHeight="false" outlineLevel="0" collapsed="false">
      <c r="J62" s="19"/>
    </row>
    <row r="65" customFormat="false" ht="12.75" hidden="false" customHeight="false" outlineLevel="0" collapsed="false">
      <c r="J65" s="19"/>
    </row>
    <row r="68" customFormat="false" ht="12.75" hidden="false" customHeight="false" outlineLevel="0" collapsed="false">
      <c r="J68" s="19"/>
    </row>
    <row r="72" customFormat="false" ht="12.75" hidden="false" customHeight="false" outlineLevel="0" collapsed="false">
      <c r="J72" s="19"/>
    </row>
    <row r="75" customFormat="false" ht="12.75" hidden="false" customHeight="false" outlineLevel="0" collapsed="false">
      <c r="J75" s="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5400</xdr:colOff>
                    <xdr:row>2</xdr:row>
                    <xdr:rowOff>16200</xdr:rowOff>
                  </from>
                  <to>
                    <xdr:col>4</xdr:col>
                    <xdr:colOff>-59760</xdr:colOff>
                    <xdr:row>3</xdr:row>
                    <xdr:rowOff>97920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7DEE8"/>
    <pageSetUpPr fitToPage="false"/>
  </sheetPr>
  <dimension ref="A1:L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3" activeCellId="0" sqref="B33"/>
    </sheetView>
  </sheetViews>
  <sheetFormatPr defaultColWidth="9.00390625" defaultRowHeight="12.75" customHeight="false" zeroHeight="false" outlineLevelRow="0" outlineLevelCol="0"/>
  <cols>
    <col collapsed="false" customWidth="true" hidden="false" outlineLevel="0" max="1" min="1" style="20" width="32.45"/>
    <col collapsed="false" customWidth="true" hidden="false" outlineLevel="0" max="2" min="2" style="20" width="19.36"/>
    <col collapsed="false" customWidth="true" hidden="false" outlineLevel="0" max="4" min="3" style="21" width="7.09"/>
    <col collapsed="false" customWidth="false" hidden="false" outlineLevel="0" max="5" min="5" style="20" width="9"/>
    <col collapsed="false" customWidth="true" hidden="false" outlineLevel="0" max="6" min="6" style="20" width="25"/>
    <col collapsed="false" customWidth="false" hidden="false" outlineLevel="0" max="7" min="7" style="20" width="9"/>
    <col collapsed="false" customWidth="true" hidden="false" outlineLevel="0" max="8" min="8" style="20" width="2"/>
    <col collapsed="false" customWidth="true" hidden="false" outlineLevel="0" max="9" min="9" style="22" width="2"/>
    <col collapsed="false" customWidth="true" hidden="false" outlineLevel="0" max="10" min="10" style="23" width="2"/>
    <col collapsed="false" customWidth="true" hidden="false" outlineLevel="0" max="11" min="11" style="24" width="2.45"/>
    <col collapsed="false" customWidth="false" hidden="false" outlineLevel="0" max="12" min="12" style="21" width="9"/>
    <col collapsed="false" customWidth="false" hidden="false" outlineLevel="0" max="16384" min="13" style="20" width="9"/>
  </cols>
  <sheetData>
    <row r="1" customFormat="false" ht="13.8" hidden="false" customHeight="false" outlineLevel="0" collapsed="false">
      <c r="A1" s="25" t="s">
        <v>0</v>
      </c>
      <c r="B1" s="26" t="s">
        <v>1</v>
      </c>
      <c r="C1" s="27" t="s">
        <v>68</v>
      </c>
      <c r="D1" s="27" t="s">
        <v>69</v>
      </c>
      <c r="F1" s="28" t="s">
        <v>70</v>
      </c>
      <c r="G1" s="28" t="s">
        <v>71</v>
      </c>
    </row>
    <row r="2" customFormat="false" ht="13.8" hidden="false" customHeight="false" outlineLevel="0" collapsed="false">
      <c r="A2" s="8" t="s">
        <v>4</v>
      </c>
      <c r="B2" s="9" t="s">
        <v>72</v>
      </c>
      <c r="C2" s="29" t="s">
        <v>73</v>
      </c>
      <c r="D2" s="29" t="s">
        <v>74</v>
      </c>
      <c r="F2" s="30"/>
      <c r="K2" s="31" t="s">
        <v>6</v>
      </c>
    </row>
    <row r="3" customFormat="false" ht="13.8" hidden="false" customHeight="false" outlineLevel="0" collapsed="false">
      <c r="A3" s="8" t="s">
        <v>7</v>
      </c>
      <c r="B3" s="32" t="s">
        <v>75</v>
      </c>
      <c r="C3" s="29" t="s">
        <v>73</v>
      </c>
      <c r="D3" s="29" t="s">
        <v>74</v>
      </c>
      <c r="L3" s="33" t="s">
        <v>9</v>
      </c>
    </row>
    <row r="4" customFormat="false" ht="13.8" hidden="false" customHeight="false" outlineLevel="0" collapsed="false">
      <c r="A4" s="8" t="s">
        <v>27</v>
      </c>
      <c r="B4" s="32" t="s">
        <v>76</v>
      </c>
      <c r="C4" s="29" t="s">
        <v>73</v>
      </c>
      <c r="D4" s="29" t="s">
        <v>74</v>
      </c>
      <c r="L4" s="34" t="s">
        <v>12</v>
      </c>
    </row>
    <row r="5" customFormat="false" ht="13.8" hidden="false" customHeight="false" outlineLevel="0" collapsed="false">
      <c r="A5" s="35"/>
      <c r="B5" s="32"/>
      <c r="C5" s="29"/>
      <c r="D5" s="29"/>
      <c r="L5" s="33" t="s">
        <v>15</v>
      </c>
    </row>
    <row r="6" customFormat="false" ht="13.8" hidden="false" customHeight="false" outlineLevel="0" collapsed="false">
      <c r="A6" s="36"/>
      <c r="B6" s="32"/>
      <c r="C6" s="29"/>
      <c r="D6" s="29"/>
      <c r="F6" s="37" t="str">
        <f aca="true">IF(MID(CELL("filename",A1),FIND("[",CELL("filename",A1))+1,FIND("]",CELL("filename",A1))-FIND("[",CELL("filename",A1))-1)="エクセル用ツール.xlsm","ここからの直接起動はできません！","")</f>
        <v/>
      </c>
      <c r="L6" s="33"/>
    </row>
    <row r="7" customFormat="false" ht="13.8" hidden="false" customHeight="false" outlineLevel="0" collapsed="false">
      <c r="A7" s="35"/>
      <c r="B7" s="35"/>
      <c r="C7" s="38"/>
      <c r="D7" s="38"/>
      <c r="K7" s="39" t="s">
        <v>20</v>
      </c>
      <c r="L7" s="33"/>
    </row>
    <row r="8" customFormat="false" ht="13.8" hidden="false" customHeight="false" outlineLevel="0" collapsed="false">
      <c r="L8" s="33" t="s">
        <v>77</v>
      </c>
    </row>
    <row r="9" customFormat="false" ht="13.8" hidden="false" customHeight="false" outlineLevel="0" collapsed="false">
      <c r="L9" s="33" t="s">
        <v>78</v>
      </c>
    </row>
    <row r="10" customFormat="false" ht="13.8" hidden="false" customHeight="false" outlineLevel="0" collapsed="false">
      <c r="L10" s="33" t="s">
        <v>79</v>
      </c>
    </row>
    <row r="11" customFormat="false" ht="13.8" hidden="false" customHeight="false" outlineLevel="0" collapsed="false">
      <c r="K11" s="40"/>
      <c r="L11" s="33" t="s">
        <v>32</v>
      </c>
    </row>
    <row r="12" customFormat="false" ht="13.8" hidden="false" customHeight="false" outlineLevel="0" collapsed="false">
      <c r="K12" s="40"/>
      <c r="L12" s="33"/>
    </row>
    <row r="13" customFormat="false" ht="13.8" hidden="false" customHeight="false" outlineLevel="0" collapsed="false">
      <c r="K13" s="41" t="s">
        <v>33</v>
      </c>
      <c r="L13" s="33"/>
    </row>
    <row r="14" customFormat="false" ht="13.8" hidden="false" customHeight="false" outlineLevel="0" collapsed="false">
      <c r="K14" s="40"/>
      <c r="L14" s="33"/>
    </row>
    <row r="15" customFormat="false" ht="13.8" hidden="false" customHeight="false" outlineLevel="0" collapsed="false">
      <c r="L15" s="33" t="s">
        <v>34</v>
      </c>
    </row>
    <row r="16" customFormat="false" ht="13.8" hidden="false" customHeight="false" outlineLevel="0" collapsed="false">
      <c r="L16" s="33" t="s">
        <v>35</v>
      </c>
    </row>
    <row r="17" customFormat="false" ht="13.8" hidden="false" customHeight="false" outlineLevel="0" collapsed="false">
      <c r="L17" s="33" t="s">
        <v>80</v>
      </c>
    </row>
    <row r="18" customFormat="false" ht="13.8" hidden="false" customHeight="false" outlineLevel="0" collapsed="false">
      <c r="L18" s="42" t="s">
        <v>81</v>
      </c>
    </row>
    <row r="19" customFormat="false" ht="13.8" hidden="false" customHeight="false" outlineLevel="0" collapsed="false">
      <c r="L19" s="42" t="s">
        <v>82</v>
      </c>
    </row>
    <row r="20" customFormat="false" ht="13.8" hidden="false" customHeight="false" outlineLevel="0" collapsed="false"/>
    <row r="21" customFormat="false" ht="13.8" hidden="false" customHeight="false" outlineLevel="0" collapsed="false">
      <c r="L21" s="33" t="s">
        <v>36</v>
      </c>
    </row>
    <row r="22" customFormat="false" ht="13.8" hidden="false" customHeight="false" outlineLevel="0" collapsed="false">
      <c r="L22" s="33" t="s">
        <v>37</v>
      </c>
    </row>
    <row r="23" customFormat="false" ht="13.8" hidden="false" customHeight="false" outlineLevel="0" collapsed="false">
      <c r="L23" s="33"/>
    </row>
    <row r="24" customFormat="false" ht="13.8" hidden="false" customHeight="false" outlineLevel="0" collapsed="false">
      <c r="L24" s="33" t="s">
        <v>38</v>
      </c>
    </row>
    <row r="25" customFormat="false" ht="13.8" hidden="false" customHeight="false" outlineLevel="0" collapsed="false">
      <c r="L25" s="33" t="s">
        <v>39</v>
      </c>
    </row>
    <row r="26" customFormat="false" ht="13.8" hidden="false" customHeight="false" outlineLevel="0" collapsed="false">
      <c r="L26" s="33"/>
    </row>
    <row r="27" customFormat="false" ht="13.8" hidden="false" customHeight="false" outlineLevel="0" collapsed="false">
      <c r="L27" s="33" t="s">
        <v>40</v>
      </c>
    </row>
    <row r="28" customFormat="false" ht="13.8" hidden="false" customHeight="false" outlineLevel="0" collapsed="false">
      <c r="L28" s="33" t="s">
        <v>41</v>
      </c>
    </row>
    <row r="29" customFormat="false" ht="13.8" hidden="false" customHeight="false" outlineLevel="0" collapsed="false">
      <c r="K29" s="43"/>
      <c r="L29" s="33" t="s">
        <v>42</v>
      </c>
    </row>
    <row r="30" customFormat="false" ht="13.8" hidden="false" customHeight="false" outlineLevel="0" collapsed="false">
      <c r="L30" s="33" t="s">
        <v>43</v>
      </c>
    </row>
    <row r="31" customFormat="false" ht="13.8" hidden="false" customHeight="false" outlineLevel="0" collapsed="false"/>
    <row r="32" customFormat="false" ht="13.8" hidden="false" customHeight="false" outlineLevel="0" collapsed="false">
      <c r="K32" s="43" t="s">
        <v>53</v>
      </c>
      <c r="L32" s="33"/>
    </row>
    <row r="33" customFormat="false" ht="13.8" hidden="false" customHeight="false" outlineLevel="0" collapsed="false">
      <c r="L33" s="33"/>
    </row>
    <row r="34" customFormat="false" ht="13.8" hidden="false" customHeight="false" outlineLevel="0" collapsed="false">
      <c r="L34" s="33" t="s">
        <v>83</v>
      </c>
    </row>
    <row r="35" customFormat="false" ht="13.8" hidden="false" customHeight="false" outlineLevel="0" collapsed="false">
      <c r="L35" s="33" t="s">
        <v>84</v>
      </c>
    </row>
    <row r="36" customFormat="false" ht="13.8" hidden="false" customHeight="false" outlineLevel="0" collapsed="false"/>
    <row r="37" customFormat="false" ht="13.8" hidden="false" customHeight="false" outlineLevel="0" collapsed="false">
      <c r="L37" s="33" t="s">
        <v>85</v>
      </c>
    </row>
    <row r="38" customFormat="false" ht="13.8" hidden="false" customHeight="false" outlineLevel="0" collapsed="false">
      <c r="L38" s="33" t="s">
        <v>86</v>
      </c>
    </row>
    <row r="39" customFormat="false" ht="13.8" hidden="false" customHeight="false" outlineLevel="0" collapsed="false"/>
    <row r="40" customFormat="false" ht="13.8" hidden="false" customHeight="false" outlineLevel="0" collapsed="false">
      <c r="L40" s="33" t="s">
        <v>87</v>
      </c>
    </row>
    <row r="41" customFormat="false" ht="13.8" hidden="false" customHeight="false" outlineLevel="0" collapsed="false">
      <c r="L41" s="33" t="s">
        <v>88</v>
      </c>
    </row>
    <row r="42" customFormat="false" ht="13.8" hidden="false" customHeight="false" outlineLevel="0" collapsed="false"/>
    <row r="43" customFormat="false" ht="13.8" hidden="false" customHeight="false" outlineLevel="0" collapsed="false">
      <c r="L43" s="33" t="s">
        <v>89</v>
      </c>
    </row>
    <row r="44" customFormat="false" ht="13.8" hidden="false" customHeight="false" outlineLevel="0" collapsed="false">
      <c r="L44" s="33" t="s">
        <v>90</v>
      </c>
    </row>
    <row r="45" customFormat="false" ht="13.8" hidden="false" customHeight="false" outlineLevel="0" collapsed="false"/>
    <row r="46" customFormat="false" ht="13.8" hidden="false" customHeight="false" outlineLevel="0" collapsed="false">
      <c r="L46" s="33" t="s">
        <v>66</v>
      </c>
    </row>
    <row r="47" customFormat="false" ht="13.8" hidden="false" customHeight="false" outlineLevel="0" collapsed="false">
      <c r="L47" s="33" t="s">
        <v>91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5</xdr:col>
                    <xdr:colOff>0</xdr:colOff>
                    <xdr:row>2</xdr:row>
                    <xdr:rowOff>5400</xdr:rowOff>
                  </from>
                  <to>
                    <xdr:col>6</xdr:col>
                    <xdr:colOff>-59760</xdr:colOff>
                    <xdr:row>3</xdr:row>
                    <xdr:rowOff>174960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F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0" sqref="F20"/>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4" min="2" style="44" width="21.91"/>
    <col collapsed="false" customWidth="true" hidden="false" outlineLevel="0" max="5" min="5" style="44" width="2.88"/>
    <col collapsed="false" customWidth="true" hidden="false" outlineLevel="0" max="6" min="6" style="44" width="36.56"/>
    <col collapsed="false" customWidth="true" hidden="false" outlineLevel="0" max="7" min="7" style="45" width="9.27"/>
    <col collapsed="false" customWidth="false" hidden="false" outlineLevel="0" max="16384" min="8" style="45" width="9"/>
  </cols>
  <sheetData>
    <row r="3" customFormat="false" ht="13.8" hidden="false" customHeight="false" outlineLevel="0" collapsed="false">
      <c r="A3" s="46" t="s">
        <v>92</v>
      </c>
      <c r="B3" s="46"/>
      <c r="C3" s="46"/>
      <c r="D3" s="46"/>
      <c r="E3" s="46"/>
      <c r="F3" s="46"/>
    </row>
    <row r="4" customFormat="false" ht="13.8" hidden="false" customHeight="false" outlineLevel="0" collapsed="false">
      <c r="A4" s="47" t="s">
        <v>93</v>
      </c>
      <c r="B4" s="47" t="s">
        <v>94</v>
      </c>
      <c r="C4" s="47" t="s">
        <v>95</v>
      </c>
      <c r="D4" s="48" t="s">
        <v>96</v>
      </c>
      <c r="E4" s="48" t="s">
        <v>97</v>
      </c>
      <c r="F4" s="47" t="s">
        <v>98</v>
      </c>
    </row>
    <row r="5" customFormat="false" ht="13.8" hidden="false" customHeight="false" outlineLevel="0" collapsed="false">
      <c r="A5" s="49" t="s">
        <v>99</v>
      </c>
      <c r="B5" s="49" t="s">
        <v>100</v>
      </c>
      <c r="C5" s="49" t="s">
        <v>101</v>
      </c>
      <c r="D5" s="49"/>
      <c r="E5" s="49"/>
      <c r="F5" s="49" t="s">
        <v>102</v>
      </c>
    </row>
    <row r="6" customFormat="false" ht="13.8" hidden="false" customHeight="false" outlineLevel="0" collapsed="false">
      <c r="A6" s="50" t="n">
        <v>0</v>
      </c>
      <c r="B6" s="50" t="s">
        <v>103</v>
      </c>
      <c r="C6" s="50" t="n">
        <v>0</v>
      </c>
      <c r="D6" s="51"/>
      <c r="E6" s="50" t="str">
        <f aca="false" t="array" ref="E6:E6">GETCOLORJSON(D6)</f>
        <v>{"r":1,"g":1,"b":1,"a":1}</v>
      </c>
      <c r="F6" s="50" t="str">
        <f aca="false">E6</f>
        <v>{"r":1,"g":1,"b":1,"a":1}</v>
      </c>
    </row>
    <row r="7" customFormat="false" ht="13.8" hidden="false" customHeight="false" outlineLevel="0" collapsed="false">
      <c r="A7" s="50" t="n">
        <v>1</v>
      </c>
      <c r="B7" s="50" t="s">
        <v>104</v>
      </c>
      <c r="C7" s="50" t="n">
        <v>0</v>
      </c>
      <c r="D7" s="52"/>
      <c r="E7" s="50" t="str">
        <f aca="false" t="array" ref="E7:E7">GETCOLORJSON(D7)</f>
        <v>{"r":1,"g":0.753,"b":0,"a":1}</v>
      </c>
      <c r="F7" s="50" t="str">
        <f aca="false">E7</f>
        <v>{"r":1,"g":0.753,"b":0,"a":1}</v>
      </c>
    </row>
    <row r="8" customFormat="false" ht="13.8" hidden="false" customHeight="false" outlineLevel="0" collapsed="false">
      <c r="A8" s="50" t="n">
        <v>2</v>
      </c>
      <c r="B8" s="50" t="s">
        <v>105</v>
      </c>
      <c r="C8" s="50" t="n">
        <v>0</v>
      </c>
      <c r="D8" s="53"/>
      <c r="E8" s="50" t="str">
        <f aca="false" t="array" ref="E8:E8">GETCOLORJSON(D8)</f>
        <v>{"r":0,"g":0.439,"b":0.753,"a":1}</v>
      </c>
      <c r="F8" s="50" t="str">
        <f aca="false">E8</f>
        <v>{"r":0,"g":0.439,"b":0.753,"a":1}</v>
      </c>
    </row>
    <row r="9" customFormat="false" ht="13.8" hidden="false" customHeight="false" outlineLevel="0" collapsed="false">
      <c r="A9" s="50" t="n">
        <v>3</v>
      </c>
      <c r="B9" s="50" t="s">
        <v>106</v>
      </c>
      <c r="C9" s="50" t="n">
        <v>0</v>
      </c>
      <c r="D9" s="54"/>
      <c r="E9" s="50" t="str">
        <f aca="false" t="array" ref="E9:E9">GETCOLORJSON(D9)</f>
        <v>{"r":0.376,"g":0.29,"b":0.482,"a":1}</v>
      </c>
      <c r="F9" s="50" t="str">
        <f aca="false">E9</f>
        <v>{"r":0.376,"g":0.29,"b":0.482,"a":1}</v>
      </c>
    </row>
    <row r="10" customFormat="false" ht="13.8" hidden="false" customHeight="false" outlineLevel="0" collapsed="false">
      <c r="A10" s="50" t="n">
        <v>4</v>
      </c>
      <c r="B10" s="50" t="s">
        <v>107</v>
      </c>
      <c r="C10" s="50" t="n">
        <v>1</v>
      </c>
      <c r="D10" s="55"/>
      <c r="E10" s="50" t="str">
        <f aca="false" t="array" ref="E10:E10">GETCOLORJSON(D10)</f>
        <v>{"r":0.467,"g":0.576,"b":0.235,"a":1}</v>
      </c>
      <c r="F10" s="50" t="str">
        <f aca="false">E10</f>
        <v>{"r":0.467,"g":0.576,"b":0.235,"a":1}</v>
      </c>
    </row>
    <row r="11" customFormat="false" ht="13.8" hidden="false" customHeight="false" outlineLevel="0" collapsed="false">
      <c r="A11" s="50" t="n">
        <v>5</v>
      </c>
      <c r="B11" s="50" t="s">
        <v>108</v>
      </c>
      <c r="C11" s="50" t="n">
        <v>0</v>
      </c>
      <c r="D11" s="56"/>
      <c r="E11" s="50" t="str">
        <f aca="false" t="array" ref="E11:E11">GETCOLORJSON(D11)</f>
        <v>{"r":0.584,"g":0.216,"b":0.208,"a":1}</v>
      </c>
      <c r="F11" s="50" t="str">
        <f aca="false">E11</f>
        <v>{"r":0.584,"g":0.216,"b":0.208,"a":1}</v>
      </c>
    </row>
    <row r="12" customFormat="false" ht="13.8" hidden="false" customHeight="false" outlineLevel="0" collapsed="false">
      <c r="A12" s="50" t="n">
        <v>6</v>
      </c>
      <c r="B12" s="50" t="s">
        <v>109</v>
      </c>
      <c r="C12" s="50" t="n">
        <v>1</v>
      </c>
      <c r="D12" s="57"/>
      <c r="E12" s="50" t="str">
        <f aca="false" t="array" ref="E12:E12">GETCOLORJSON(D12)</f>
        <v>{"r":1,"g":1,"b":0,"a":1}</v>
      </c>
      <c r="F12" s="50" t="str">
        <f aca="false">E12</f>
        <v>{"r":1,"g":1,"b":0,"a":1}</v>
      </c>
    </row>
    <row r="13" customFormat="false" ht="13.8" hidden="false" customHeight="false" outlineLevel="0" collapsed="false">
      <c r="A13" s="50" t="n">
        <v>7</v>
      </c>
      <c r="B13" s="50" t="s">
        <v>110</v>
      </c>
      <c r="C13" s="50" t="n">
        <v>0</v>
      </c>
      <c r="D13" s="58"/>
      <c r="E13" s="50" t="str">
        <f aca="false" t="array" ref="E13:E13">GETCOLORJSON(D13)</f>
        <v>{"r":0.851,"g":0.588,"b":0.58,"a":1}</v>
      </c>
      <c r="F13" s="50" t="str">
        <f aca="false">E13</f>
        <v>{"r":0.851,"g":0.588,"b":0.58,"a":1}</v>
      </c>
    </row>
    <row r="14" customFormat="false" ht="13.8" hidden="false" customHeight="false" outlineLevel="0" collapsed="false">
      <c r="A14" s="46" t="s">
        <v>111</v>
      </c>
      <c r="B14" s="46"/>
      <c r="C14" s="46"/>
      <c r="D14" s="46"/>
      <c r="E14" s="46"/>
      <c r="F14" s="46"/>
    </row>
    <row r="18" customFormat="false" ht="13.8" hidden="false" customHeight="false" outlineLevel="0" collapsed="false">
      <c r="A18" s="59" t="s">
        <v>112</v>
      </c>
    </row>
    <row r="19" customFormat="false" ht="13.8" hidden="false" customHeight="false" outlineLevel="0" collapsed="false">
      <c r="A19"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3" activeCellId="0" sqref="A23"/>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13.36"/>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93</v>
      </c>
      <c r="B4" s="47" t="s">
        <v>94</v>
      </c>
      <c r="C4" s="47" t="s">
        <v>114</v>
      </c>
      <c r="D4" s="47" t="s">
        <v>115</v>
      </c>
    </row>
    <row r="5" customFormat="false" ht="12.75" hidden="false" customHeight="false" outlineLevel="0" collapsed="false">
      <c r="A5" s="49" t="s">
        <v>99</v>
      </c>
      <c r="B5" s="49" t="s">
        <v>100</v>
      </c>
      <c r="C5" s="49" t="s">
        <v>116</v>
      </c>
      <c r="D5" s="49" t="s">
        <v>117</v>
      </c>
    </row>
    <row r="6" customFormat="false" ht="12.75" hidden="false" customHeight="false" outlineLevel="0" collapsed="false">
      <c r="A6" s="50" t="n">
        <v>1</v>
      </c>
      <c r="B6" s="50" t="s">
        <v>118</v>
      </c>
      <c r="C6" s="50" t="n">
        <v>99</v>
      </c>
      <c r="D6" s="50" t="n">
        <v>99</v>
      </c>
    </row>
    <row r="7" customFormat="false" ht="12.75" hidden="false" customHeight="false" outlineLevel="0" collapsed="false">
      <c r="A7" s="50" t="n">
        <v>2</v>
      </c>
      <c r="B7" s="50" t="s">
        <v>119</v>
      </c>
      <c r="C7" s="50" t="n">
        <v>99</v>
      </c>
      <c r="D7" s="50" t="n">
        <v>99</v>
      </c>
    </row>
    <row r="8" customFormat="false" ht="12.75" hidden="false" customHeight="false" outlineLevel="0" collapsed="false">
      <c r="A8" s="50" t="n">
        <v>3</v>
      </c>
      <c r="B8" s="50" t="s">
        <v>120</v>
      </c>
      <c r="C8" s="50" t="n">
        <v>1</v>
      </c>
      <c r="D8" s="50" t="n">
        <v>3</v>
      </c>
    </row>
    <row r="9" customFormat="false" ht="12.75" hidden="false" customHeight="false" outlineLevel="0" collapsed="false">
      <c r="A9" s="50" t="n">
        <v>4</v>
      </c>
      <c r="B9" s="50" t="s">
        <v>121</v>
      </c>
      <c r="C9" s="50" t="n">
        <v>1</v>
      </c>
      <c r="D9" s="50" t="n">
        <v>3</v>
      </c>
    </row>
    <row r="10" customFormat="false" ht="12.75" hidden="false" customHeight="false" outlineLevel="0" collapsed="false">
      <c r="A10" s="50" t="n">
        <v>5</v>
      </c>
      <c r="B10" s="50" t="s">
        <v>122</v>
      </c>
      <c r="C10" s="50" t="n">
        <v>1</v>
      </c>
      <c r="D10" s="50" t="n">
        <v>3</v>
      </c>
    </row>
    <row r="11" customFormat="false" ht="12.75" hidden="false" customHeight="false" outlineLevel="0" collapsed="false">
      <c r="A11" s="50" t="n">
        <v>6</v>
      </c>
      <c r="B11" s="50" t="s">
        <v>123</v>
      </c>
      <c r="C11" s="50" t="n">
        <v>1</v>
      </c>
      <c r="D11" s="50" t="n">
        <v>4</v>
      </c>
    </row>
    <row r="12" customFormat="false" ht="12.75" hidden="false" customHeight="false" outlineLevel="0" collapsed="false">
      <c r="A12" s="50" t="n">
        <v>7</v>
      </c>
      <c r="B12" s="50" t="s">
        <v>124</v>
      </c>
      <c r="C12" s="50" t="n">
        <v>1</v>
      </c>
      <c r="D12" s="50" t="n">
        <v>5</v>
      </c>
    </row>
    <row r="13" customFormat="false" ht="12.75" hidden="false" customHeight="false" outlineLevel="0" collapsed="false">
      <c r="A13" s="50" t="n">
        <v>8</v>
      </c>
      <c r="B13" s="50" t="s">
        <v>125</v>
      </c>
      <c r="C13" s="50" t="n">
        <v>99</v>
      </c>
      <c r="D13" s="50" t="n">
        <v>99</v>
      </c>
    </row>
    <row r="14" customFormat="false" ht="12.75" hidden="false" customHeight="false" outlineLevel="0" collapsed="false">
      <c r="A14" s="50" t="n">
        <v>9</v>
      </c>
      <c r="B14" s="50" t="s">
        <v>126</v>
      </c>
      <c r="C14" s="50" t="n">
        <v>99</v>
      </c>
      <c r="D14" s="50" t="n">
        <v>99</v>
      </c>
    </row>
    <row r="15" customFormat="false" ht="12.75" hidden="false" customHeight="false" outlineLevel="0" collapsed="false">
      <c r="A15" s="50" t="n">
        <v>10</v>
      </c>
      <c r="B15" s="50" t="s">
        <v>127</v>
      </c>
      <c r="C15" s="50" t="n">
        <v>1</v>
      </c>
      <c r="D15" s="50" t="n">
        <v>6</v>
      </c>
    </row>
    <row r="16" customFormat="false" ht="12.75" hidden="false" customHeight="false" outlineLevel="0" collapsed="false">
      <c r="A16" s="46" t="s">
        <v>111</v>
      </c>
      <c r="B16" s="46"/>
      <c r="C16" s="46"/>
      <c r="D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112</v>
      </c>
    </row>
    <row r="22" customFormat="false" ht="13.8" hidden="false" customHeight="false" outlineLevel="0" collapsed="false">
      <c r="A22"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6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6" activeCellId="0" sqref="D26"/>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17.27"/>
    <col collapsed="false" customWidth="true" hidden="false" outlineLevel="0" max="4" min="4" style="44" width="18.27"/>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93</v>
      </c>
      <c r="B4" s="60" t="s">
        <v>94</v>
      </c>
      <c r="C4" s="47" t="s">
        <v>128</v>
      </c>
      <c r="D4" s="47" t="s">
        <v>129</v>
      </c>
    </row>
    <row r="5" customFormat="false" ht="12.75" hidden="false" customHeight="false" outlineLevel="0" collapsed="false">
      <c r="A5" s="49" t="s">
        <v>99</v>
      </c>
      <c r="B5" s="49" t="s">
        <v>100</v>
      </c>
      <c r="C5" s="49" t="s">
        <v>130</v>
      </c>
      <c r="D5" s="49" t="s">
        <v>131</v>
      </c>
    </row>
    <row r="6" customFormat="false" ht="12.75" hidden="false" customHeight="false" outlineLevel="0" collapsed="false">
      <c r="A6" s="50" t="n">
        <f aca="false">_xlfn.XLOOKUP(B6, ノード!B:B, ノード!A:A, "")</f>
        <v>4</v>
      </c>
      <c r="B6" s="50" t="s">
        <v>121</v>
      </c>
      <c r="C6" s="50" t="n">
        <v>1</v>
      </c>
      <c r="D6" s="50" t="n">
        <v>10</v>
      </c>
    </row>
    <row r="7" customFormat="false" ht="12.75" hidden="false" customHeight="false" outlineLevel="0" collapsed="false">
      <c r="A7" s="50" t="n">
        <f aca="false">_xlfn.XLOOKUP(B7, ノード!B:B, ノード!A:A, "")</f>
        <v>4</v>
      </c>
      <c r="B7" s="50" t="s">
        <v>121</v>
      </c>
      <c r="C7" s="50" t="n">
        <v>2</v>
      </c>
      <c r="D7" s="50" t="n">
        <f aca="false">INT(D6*2.5)</f>
        <v>25</v>
      </c>
    </row>
    <row r="8" customFormat="false" ht="12.75" hidden="false" customHeight="false" outlineLevel="0" collapsed="false">
      <c r="A8" s="50" t="n">
        <f aca="false">_xlfn.XLOOKUP(B8, ノード!B:B, ノード!A:A, "")</f>
        <v>4</v>
      </c>
      <c r="B8" s="50" t="s">
        <v>121</v>
      </c>
      <c r="C8" s="50" t="n">
        <v>3</v>
      </c>
      <c r="D8" s="50" t="n">
        <f aca="false">INT(D7*2.5)</f>
        <v>62</v>
      </c>
    </row>
    <row r="9" customFormat="false" ht="12.75" hidden="false" customHeight="false" outlineLevel="0" collapsed="false">
      <c r="A9" s="50" t="n">
        <f aca="false">_xlfn.XLOOKUP(B9, ノード!B:B, ノード!A:A, "")</f>
        <v>4</v>
      </c>
      <c r="B9" s="50" t="s">
        <v>121</v>
      </c>
      <c r="C9" s="50" t="n">
        <v>4</v>
      </c>
      <c r="D9" s="50" t="n">
        <f aca="false">INT(D8*2.5)</f>
        <v>155</v>
      </c>
    </row>
    <row r="10" customFormat="false" ht="12.75" hidden="false" customHeight="false" outlineLevel="0" collapsed="false">
      <c r="A10" s="50" t="n">
        <f aca="false">_xlfn.XLOOKUP(B10, ノード!B:B, ノード!A:A, "")</f>
        <v>4</v>
      </c>
      <c r="B10" s="50" t="s">
        <v>121</v>
      </c>
      <c r="C10" s="50" t="n">
        <v>5</v>
      </c>
      <c r="D10" s="50" t="n">
        <f aca="false">INT(D9*2.5)</f>
        <v>387</v>
      </c>
    </row>
    <row r="11" customFormat="false" ht="12.75" hidden="false" customHeight="false" outlineLevel="0" collapsed="false">
      <c r="A11" s="50" t="n">
        <f aca="false">_xlfn.XLOOKUP(B11, ノード!B:B, ノード!A:A, "")</f>
        <v>4</v>
      </c>
      <c r="B11" s="50" t="s">
        <v>121</v>
      </c>
      <c r="C11" s="50" t="n">
        <v>6</v>
      </c>
      <c r="D11" s="50" t="n">
        <f aca="false">INT(D10*2.5)</f>
        <v>967</v>
      </c>
    </row>
    <row r="12" customFormat="false" ht="12.75" hidden="false" customHeight="false" outlineLevel="0" collapsed="false">
      <c r="A12" s="50" t="n">
        <f aca="false">_xlfn.XLOOKUP(B12, ノード!B:B, ノード!A:A, "")</f>
        <v>4</v>
      </c>
      <c r="B12" s="50" t="s">
        <v>121</v>
      </c>
      <c r="C12" s="50" t="n">
        <v>7</v>
      </c>
      <c r="D12" s="50" t="n">
        <f aca="false">INT(D11*2.5)</f>
        <v>2417</v>
      </c>
    </row>
    <row r="13" customFormat="false" ht="12.75" hidden="false" customHeight="false" outlineLevel="0" collapsed="false">
      <c r="A13" s="50" t="n">
        <f aca="false">_xlfn.XLOOKUP(B13, ノード!B:B, ノード!A:A, "")</f>
        <v>4</v>
      </c>
      <c r="B13" s="50" t="s">
        <v>121</v>
      </c>
      <c r="C13" s="50" t="n">
        <v>8</v>
      </c>
      <c r="D13" s="50" t="n">
        <f aca="false">INT(D12*2.5)</f>
        <v>6042</v>
      </c>
    </row>
    <row r="14" customFormat="false" ht="12.75" hidden="false" customHeight="false" outlineLevel="0" collapsed="false">
      <c r="A14" s="50" t="n">
        <f aca="false">_xlfn.XLOOKUP(B14, ノード!B:B, ノード!A:A, "")</f>
        <v>4</v>
      </c>
      <c r="B14" s="50" t="s">
        <v>121</v>
      </c>
      <c r="C14" s="50" t="n">
        <v>9</v>
      </c>
      <c r="D14" s="50" t="n">
        <f aca="false">INT(D13*2.5)</f>
        <v>15105</v>
      </c>
    </row>
    <row r="15" customFormat="false" ht="12.75" hidden="false" customHeight="false" outlineLevel="0" collapsed="false">
      <c r="A15" s="50" t="n">
        <f aca="false">_xlfn.XLOOKUP(B15, ノード!B:B, ノード!A:A, "")</f>
        <v>4</v>
      </c>
      <c r="B15" s="50" t="s">
        <v>121</v>
      </c>
      <c r="C15" s="50" t="n">
        <v>10</v>
      </c>
      <c r="D15" s="50" t="n">
        <f aca="false">INT(D14*2.5)</f>
        <v>37762</v>
      </c>
    </row>
    <row r="16" customFormat="false" ht="12.75" hidden="false" customHeight="false" outlineLevel="0" collapsed="false">
      <c r="A16" s="50" t="n">
        <f aca="false">_xlfn.XLOOKUP(B16, ノード!B:B, ノード!A:A, "")</f>
        <v>3</v>
      </c>
      <c r="B16" s="50" t="s">
        <v>120</v>
      </c>
      <c r="C16" s="50" t="n">
        <v>1</v>
      </c>
      <c r="D16" s="50" t="n">
        <v>20</v>
      </c>
    </row>
    <row r="17" customFormat="false" ht="12.75" hidden="false" customHeight="false" outlineLevel="0" collapsed="false">
      <c r="A17" s="50" t="n">
        <f aca="false">_xlfn.XLOOKUP(B17, ノード!B:B, ノード!A:A, "")</f>
        <v>3</v>
      </c>
      <c r="B17" s="50" t="s">
        <v>120</v>
      </c>
      <c r="C17" s="50" t="n">
        <v>2</v>
      </c>
      <c r="D17" s="50" t="n">
        <f aca="false">D16*2</f>
        <v>40</v>
      </c>
    </row>
    <row r="18" customFormat="false" ht="12.75" hidden="false" customHeight="false" outlineLevel="0" collapsed="false">
      <c r="A18" s="50" t="n">
        <f aca="false">_xlfn.XLOOKUP(B18, ノード!B:B, ノード!A:A, "")</f>
        <v>3</v>
      </c>
      <c r="B18" s="50" t="s">
        <v>120</v>
      </c>
      <c r="C18" s="50" t="n">
        <v>3</v>
      </c>
      <c r="D18" s="50" t="n">
        <f aca="false">D17*2</f>
        <v>80</v>
      </c>
    </row>
    <row r="19" customFormat="false" ht="12.75" hidden="false" customHeight="false" outlineLevel="0" collapsed="false">
      <c r="A19" s="50" t="n">
        <f aca="false">_xlfn.XLOOKUP(B19, ノード!B:B, ノード!A:A, "")</f>
        <v>3</v>
      </c>
      <c r="B19" s="50" t="s">
        <v>120</v>
      </c>
      <c r="C19" s="50" t="n">
        <v>4</v>
      </c>
      <c r="D19" s="50" t="n">
        <f aca="false">D18*2</f>
        <v>160</v>
      </c>
    </row>
    <row r="20" customFormat="false" ht="12.75" hidden="false" customHeight="false" outlineLevel="0" collapsed="false">
      <c r="A20" s="50" t="n">
        <f aca="false">_xlfn.XLOOKUP(B20, ノード!B:B, ノード!A:A, "")</f>
        <v>3</v>
      </c>
      <c r="B20" s="50" t="s">
        <v>120</v>
      </c>
      <c r="C20" s="50" t="n">
        <v>5</v>
      </c>
      <c r="D20" s="50" t="n">
        <f aca="false">D19*2</f>
        <v>320</v>
      </c>
    </row>
    <row r="21" customFormat="false" ht="12.75" hidden="false" customHeight="false" outlineLevel="0" collapsed="false">
      <c r="A21" s="50" t="n">
        <f aca="false">_xlfn.XLOOKUP(B21, ノード!B:B, ノード!A:A, "")</f>
        <v>3</v>
      </c>
      <c r="B21" s="50" t="s">
        <v>120</v>
      </c>
      <c r="C21" s="50" t="n">
        <v>6</v>
      </c>
      <c r="D21" s="50" t="n">
        <f aca="false">D20*2</f>
        <v>640</v>
      </c>
    </row>
    <row r="22" customFormat="false" ht="12.75" hidden="false" customHeight="false" outlineLevel="0" collapsed="false">
      <c r="A22" s="50" t="n">
        <f aca="false">_xlfn.XLOOKUP(B22, ノード!B:B, ノード!A:A, "")</f>
        <v>3</v>
      </c>
      <c r="B22" s="50" t="s">
        <v>120</v>
      </c>
      <c r="C22" s="50" t="n">
        <v>7</v>
      </c>
      <c r="D22" s="50" t="n">
        <f aca="false">D21*2</f>
        <v>1280</v>
      </c>
    </row>
    <row r="23" customFormat="false" ht="12.75" hidden="false" customHeight="false" outlineLevel="0" collapsed="false">
      <c r="A23" s="50" t="n">
        <f aca="false">_xlfn.XLOOKUP(B23, ノード!B:B, ノード!A:A, "")</f>
        <v>3</v>
      </c>
      <c r="B23" s="50" t="s">
        <v>120</v>
      </c>
      <c r="C23" s="50" t="n">
        <v>8</v>
      </c>
      <c r="D23" s="50" t="n">
        <f aca="false">D22*2</f>
        <v>2560</v>
      </c>
    </row>
    <row r="24" customFormat="false" ht="12.75" hidden="false" customHeight="false" outlineLevel="0" collapsed="false">
      <c r="A24" s="50" t="n">
        <f aca="false">_xlfn.XLOOKUP(B24, ノード!B:B, ノード!A:A, "")</f>
        <v>3</v>
      </c>
      <c r="B24" s="50" t="s">
        <v>120</v>
      </c>
      <c r="C24" s="50" t="n">
        <v>9</v>
      </c>
      <c r="D24" s="50" t="n">
        <f aca="false">D23*2</f>
        <v>5120</v>
      </c>
    </row>
    <row r="25" customFormat="false" ht="12.75" hidden="false" customHeight="false" outlineLevel="0" collapsed="false">
      <c r="A25" s="50" t="n">
        <f aca="false">_xlfn.XLOOKUP(B25, ノード!B:B, ノード!A:A, "")</f>
        <v>3</v>
      </c>
      <c r="B25" s="50" t="s">
        <v>120</v>
      </c>
      <c r="C25" s="50" t="n">
        <v>10</v>
      </c>
      <c r="D25" s="50" t="n">
        <f aca="false">D24*2</f>
        <v>10240</v>
      </c>
    </row>
    <row r="26" customFormat="false" ht="12.75" hidden="false" customHeight="false" outlineLevel="0" collapsed="false">
      <c r="A26" s="50" t="n">
        <f aca="false">_xlfn.XLOOKUP(B26, ノード!B:B, ノード!A:A, "")</f>
        <v>5</v>
      </c>
      <c r="B26" s="50" t="s">
        <v>122</v>
      </c>
      <c r="C26" s="50" t="n">
        <v>1</v>
      </c>
      <c r="D26" s="50" t="n">
        <v>0</v>
      </c>
    </row>
    <row r="27" customFormat="false" ht="12.75" hidden="false" customHeight="false" outlineLevel="0" collapsed="false">
      <c r="A27" s="50" t="n">
        <f aca="false">_xlfn.XLOOKUP(B27, ノード!B:B, ノード!A:A, "")</f>
        <v>6</v>
      </c>
      <c r="B27" s="50" t="s">
        <v>123</v>
      </c>
      <c r="C27" s="50" t="n">
        <v>1</v>
      </c>
      <c r="D27" s="50" t="n">
        <v>10</v>
      </c>
    </row>
    <row r="28" customFormat="false" ht="12.75" hidden="false" customHeight="false" outlineLevel="0" collapsed="false">
      <c r="A28" s="50" t="n">
        <f aca="false">_xlfn.XLOOKUP(B28, ノード!B:B, ノード!A:A, "")</f>
        <v>6</v>
      </c>
      <c r="B28" s="50" t="s">
        <v>123</v>
      </c>
      <c r="C28" s="50" t="n">
        <v>2</v>
      </c>
      <c r="D28" s="50" t="n">
        <f aca="false">INT(D27*1.5)</f>
        <v>15</v>
      </c>
    </row>
    <row r="29" customFormat="false" ht="12.75" hidden="false" customHeight="false" outlineLevel="0" collapsed="false">
      <c r="A29" s="50" t="n">
        <f aca="false">_xlfn.XLOOKUP(B29, ノード!B:B, ノード!A:A, "")</f>
        <v>6</v>
      </c>
      <c r="B29" s="50" t="s">
        <v>123</v>
      </c>
      <c r="C29" s="50" t="n">
        <v>3</v>
      </c>
      <c r="D29" s="50" t="n">
        <f aca="false">INT(D28*1.5)</f>
        <v>22</v>
      </c>
    </row>
    <row r="30" customFormat="false" ht="12.75" hidden="false" customHeight="false" outlineLevel="0" collapsed="false">
      <c r="A30" s="50" t="n">
        <f aca="false">_xlfn.XLOOKUP(B30, ノード!B:B, ノード!A:A, "")</f>
        <v>6</v>
      </c>
      <c r="B30" s="50" t="s">
        <v>123</v>
      </c>
      <c r="C30" s="50" t="n">
        <v>4</v>
      </c>
      <c r="D30" s="50" t="n">
        <f aca="false">INT(D29*1.5)</f>
        <v>33</v>
      </c>
    </row>
    <row r="31" customFormat="false" ht="12.75" hidden="false" customHeight="false" outlineLevel="0" collapsed="false">
      <c r="A31" s="50" t="n">
        <f aca="false">_xlfn.XLOOKUP(B31, ノード!B:B, ノード!A:A, "")</f>
        <v>6</v>
      </c>
      <c r="B31" s="50" t="s">
        <v>123</v>
      </c>
      <c r="C31" s="50" t="n">
        <v>5</v>
      </c>
      <c r="D31" s="50" t="n">
        <f aca="false">INT(D30*1.5)</f>
        <v>49</v>
      </c>
    </row>
    <row r="32" customFormat="false" ht="12.75" hidden="false" customHeight="false" outlineLevel="0" collapsed="false">
      <c r="A32" s="50" t="n">
        <f aca="false">_xlfn.XLOOKUP(B32, ノード!B:B, ノード!A:A, "")</f>
        <v>6</v>
      </c>
      <c r="B32" s="50" t="s">
        <v>123</v>
      </c>
      <c r="C32" s="50" t="n">
        <v>6</v>
      </c>
      <c r="D32" s="50" t="n">
        <f aca="false">INT(D31*1.5)</f>
        <v>73</v>
      </c>
    </row>
    <row r="33" customFormat="false" ht="12.75" hidden="false" customHeight="false" outlineLevel="0" collapsed="false">
      <c r="A33" s="50" t="n">
        <f aca="false">_xlfn.XLOOKUP(B33, ノード!B:B, ノード!A:A, "")</f>
        <v>6</v>
      </c>
      <c r="B33" s="50" t="s">
        <v>123</v>
      </c>
      <c r="C33" s="50" t="n">
        <v>7</v>
      </c>
      <c r="D33" s="50" t="n">
        <f aca="false">INT(D32*1.5)</f>
        <v>109</v>
      </c>
    </row>
    <row r="34" customFormat="false" ht="12.75" hidden="false" customHeight="false" outlineLevel="0" collapsed="false">
      <c r="A34" s="50" t="n">
        <f aca="false">_xlfn.XLOOKUP(B34, ノード!B:B, ノード!A:A, "")</f>
        <v>6</v>
      </c>
      <c r="B34" s="50" t="s">
        <v>123</v>
      </c>
      <c r="C34" s="50" t="n">
        <v>8</v>
      </c>
      <c r="D34" s="50" t="n">
        <f aca="false">INT(D33*1.5)</f>
        <v>163</v>
      </c>
    </row>
    <row r="35" customFormat="false" ht="12.75" hidden="false" customHeight="false" outlineLevel="0" collapsed="false">
      <c r="A35" s="50" t="n">
        <f aca="false">_xlfn.XLOOKUP(B35, ノード!B:B, ノード!A:A, "")</f>
        <v>6</v>
      </c>
      <c r="B35" s="50" t="s">
        <v>123</v>
      </c>
      <c r="C35" s="50" t="n">
        <v>9</v>
      </c>
      <c r="D35" s="50" t="n">
        <f aca="false">INT(D34*1.5)</f>
        <v>244</v>
      </c>
    </row>
    <row r="36" customFormat="false" ht="12.75" hidden="false" customHeight="false" outlineLevel="0" collapsed="false">
      <c r="A36" s="50" t="n">
        <f aca="false">_xlfn.XLOOKUP(B36, ノード!B:B, ノード!A:A, "")</f>
        <v>7</v>
      </c>
      <c r="B36" s="50" t="s">
        <v>124</v>
      </c>
      <c r="C36" s="50" t="n">
        <v>1</v>
      </c>
      <c r="D36" s="50" t="n">
        <v>10</v>
      </c>
    </row>
    <row r="37" customFormat="false" ht="12.75" hidden="false" customHeight="false" outlineLevel="0" collapsed="false">
      <c r="A37" s="50" t="n">
        <f aca="false">_xlfn.XLOOKUP(B37, ノード!B:B, ノード!A:A, "")</f>
        <v>7</v>
      </c>
      <c r="B37" s="50" t="s">
        <v>124</v>
      </c>
      <c r="C37" s="50" t="n">
        <v>2</v>
      </c>
      <c r="D37" s="50" t="n">
        <f aca="false">INT(D36*2)</f>
        <v>20</v>
      </c>
    </row>
    <row r="38" customFormat="false" ht="12.75" hidden="false" customHeight="false" outlineLevel="0" collapsed="false">
      <c r="A38" s="50" t="n">
        <f aca="false">_xlfn.XLOOKUP(B38, ノード!B:B, ノード!A:A, "")</f>
        <v>7</v>
      </c>
      <c r="B38" s="50" t="s">
        <v>124</v>
      </c>
      <c r="C38" s="50" t="n">
        <v>3</v>
      </c>
      <c r="D38" s="50" t="n">
        <f aca="false">INT(D37*2)</f>
        <v>40</v>
      </c>
    </row>
    <row r="39" customFormat="false" ht="12.75" hidden="false" customHeight="false" outlineLevel="0" collapsed="false">
      <c r="A39" s="50" t="n">
        <f aca="false">_xlfn.XLOOKUP(B39, ノード!B:B, ノード!A:A, "")</f>
        <v>7</v>
      </c>
      <c r="B39" s="50" t="s">
        <v>124</v>
      </c>
      <c r="C39" s="50" t="n">
        <v>4</v>
      </c>
      <c r="D39" s="50" t="n">
        <f aca="false">INT(D38*2)</f>
        <v>80</v>
      </c>
    </row>
    <row r="40" customFormat="false" ht="12.75" hidden="false" customHeight="false" outlineLevel="0" collapsed="false">
      <c r="A40" s="50" t="n">
        <f aca="false">_xlfn.XLOOKUP(B40, ノード!B:B, ノード!A:A, "")</f>
        <v>7</v>
      </c>
      <c r="B40" s="50" t="s">
        <v>124</v>
      </c>
      <c r="C40" s="50" t="n">
        <v>5</v>
      </c>
      <c r="D40" s="50" t="n">
        <f aca="false">INT(D39*2)</f>
        <v>160</v>
      </c>
    </row>
    <row r="41" customFormat="false" ht="12.75" hidden="false" customHeight="false" outlineLevel="0" collapsed="false">
      <c r="A41" s="50" t="n">
        <f aca="false">_xlfn.XLOOKUP(B41, ノード!B:B, ノード!A:A, "")</f>
        <v>7</v>
      </c>
      <c r="B41" s="50" t="s">
        <v>124</v>
      </c>
      <c r="C41" s="50" t="n">
        <v>6</v>
      </c>
      <c r="D41" s="50" t="n">
        <f aca="false">INT(D40*2)</f>
        <v>320</v>
      </c>
    </row>
    <row r="42" customFormat="false" ht="12.75" hidden="false" customHeight="false" outlineLevel="0" collapsed="false">
      <c r="A42" s="50" t="n">
        <f aca="false">_xlfn.XLOOKUP(B42, ノード!B:B, ノード!A:A, "")</f>
        <v>7</v>
      </c>
      <c r="B42" s="50" t="s">
        <v>124</v>
      </c>
      <c r="C42" s="50" t="n">
        <v>7</v>
      </c>
      <c r="D42" s="50" t="n">
        <f aca="false">INT(D41*2)</f>
        <v>640</v>
      </c>
    </row>
    <row r="43" customFormat="false" ht="12.75" hidden="false" customHeight="false" outlineLevel="0" collapsed="false">
      <c r="A43" s="50" t="n">
        <f aca="false">_xlfn.XLOOKUP(B43, ノード!B:B, ノード!A:A, "")</f>
        <v>7</v>
      </c>
      <c r="B43" s="50" t="s">
        <v>124</v>
      </c>
      <c r="C43" s="50" t="n">
        <v>8</v>
      </c>
      <c r="D43" s="50" t="n">
        <f aca="false">INT(D42*2)</f>
        <v>1280</v>
      </c>
    </row>
    <row r="44" customFormat="false" ht="12.75" hidden="false" customHeight="false" outlineLevel="0" collapsed="false">
      <c r="A44" s="50" t="n">
        <f aca="false">_xlfn.XLOOKUP(B44, ノード!B:B, ノード!A:A, "")</f>
        <v>7</v>
      </c>
      <c r="B44" s="50" t="s">
        <v>124</v>
      </c>
      <c r="C44" s="50" t="n">
        <v>9</v>
      </c>
      <c r="D44" s="50" t="n">
        <f aca="false">INT(D43*2)</f>
        <v>2560</v>
      </c>
    </row>
    <row r="45" customFormat="false" ht="12.75" hidden="false" customHeight="false" outlineLevel="0" collapsed="false">
      <c r="A45" s="50" t="n">
        <f aca="false">_xlfn.XLOOKUP(B45, ノード!B:B, ノード!A:A, "")</f>
        <v>7</v>
      </c>
      <c r="B45" s="50" t="s">
        <v>124</v>
      </c>
      <c r="C45" s="50" t="n">
        <v>10</v>
      </c>
      <c r="D45" s="50" t="n">
        <f aca="false">INT(D44*2)</f>
        <v>5120</v>
      </c>
    </row>
    <row r="46" customFormat="false" ht="12.75" hidden="false" customHeight="false" outlineLevel="0" collapsed="false">
      <c r="A46" s="50" t="n">
        <f aca="false">_xlfn.XLOOKUP(B46, ノード!B:B, ノード!A:A, "")</f>
        <v>10</v>
      </c>
      <c r="B46" s="50" t="s">
        <v>127</v>
      </c>
      <c r="C46" s="50" t="n">
        <v>1</v>
      </c>
      <c r="D46" s="50" t="n">
        <v>10</v>
      </c>
    </row>
    <row r="47" customFormat="false" ht="12.75" hidden="false" customHeight="false" outlineLevel="0" collapsed="false">
      <c r="A47" s="50" t="n">
        <f aca="false">_xlfn.XLOOKUP(B47, ノード!B:B, ノード!A:A, "")</f>
        <v>10</v>
      </c>
      <c r="B47" s="50" t="s">
        <v>127</v>
      </c>
      <c r="C47" s="50" t="n">
        <v>2</v>
      </c>
      <c r="D47" s="50" t="n">
        <f aca="false">INT(D46*2)</f>
        <v>20</v>
      </c>
    </row>
    <row r="48" customFormat="false" ht="12.75" hidden="false" customHeight="false" outlineLevel="0" collapsed="false">
      <c r="A48" s="50" t="n">
        <f aca="false">_xlfn.XLOOKUP(B48, ノード!B:B, ノード!A:A, "")</f>
        <v>10</v>
      </c>
      <c r="B48" s="50" t="s">
        <v>127</v>
      </c>
      <c r="C48" s="50" t="n">
        <v>3</v>
      </c>
      <c r="D48" s="50" t="n">
        <f aca="false">INT(D47*2)</f>
        <v>40</v>
      </c>
    </row>
    <row r="49" customFormat="false" ht="12.75" hidden="false" customHeight="false" outlineLevel="0" collapsed="false">
      <c r="A49" s="50" t="n">
        <f aca="false">_xlfn.XLOOKUP(B49, ノード!B:B, ノード!A:A, "")</f>
        <v>10</v>
      </c>
      <c r="B49" s="50" t="s">
        <v>127</v>
      </c>
      <c r="C49" s="50" t="n">
        <v>4</v>
      </c>
      <c r="D49" s="50" t="n">
        <f aca="false">INT(D48*2)</f>
        <v>80</v>
      </c>
    </row>
    <row r="50" customFormat="false" ht="12.75" hidden="false" customHeight="false" outlineLevel="0" collapsed="false">
      <c r="A50" s="50" t="n">
        <f aca="false">_xlfn.XLOOKUP(B50, ノード!B:B, ノード!A:A, "")</f>
        <v>10</v>
      </c>
      <c r="B50" s="50" t="s">
        <v>127</v>
      </c>
      <c r="C50" s="50" t="n">
        <v>5</v>
      </c>
      <c r="D50" s="50" t="n">
        <f aca="false">INT(D49*2)</f>
        <v>160</v>
      </c>
    </row>
    <row r="51" customFormat="false" ht="12.75" hidden="false" customHeight="false" outlineLevel="0" collapsed="false">
      <c r="A51" s="50" t="n">
        <f aca="false">_xlfn.XLOOKUP(B51, ノード!B:B, ノード!A:A, "")</f>
        <v>10</v>
      </c>
      <c r="B51" s="50" t="s">
        <v>127</v>
      </c>
      <c r="C51" s="50" t="n">
        <v>6</v>
      </c>
      <c r="D51" s="50" t="n">
        <f aca="false">INT(D50*2)</f>
        <v>320</v>
      </c>
    </row>
    <row r="52" customFormat="false" ht="12.75" hidden="false" customHeight="false" outlineLevel="0" collapsed="false">
      <c r="A52" s="50" t="n">
        <f aca="false">_xlfn.XLOOKUP(B52, ノード!B:B, ノード!A:A, "")</f>
        <v>10</v>
      </c>
      <c r="B52" s="50" t="s">
        <v>127</v>
      </c>
      <c r="C52" s="50" t="n">
        <v>7</v>
      </c>
      <c r="D52" s="50" t="n">
        <f aca="false">INT(D51*2)</f>
        <v>640</v>
      </c>
    </row>
    <row r="53" customFormat="false" ht="12.75" hidden="false" customHeight="false" outlineLevel="0" collapsed="false">
      <c r="A53" s="50" t="n">
        <f aca="false">_xlfn.XLOOKUP(B53, ノード!B:B, ノード!A:A, "")</f>
        <v>10</v>
      </c>
      <c r="B53" s="50" t="s">
        <v>127</v>
      </c>
      <c r="C53" s="50" t="n">
        <v>8</v>
      </c>
      <c r="D53" s="50" t="n">
        <f aca="false">INT(D52*2)</f>
        <v>1280</v>
      </c>
    </row>
    <row r="54" customFormat="false" ht="12.75" hidden="false" customHeight="false" outlineLevel="0" collapsed="false">
      <c r="A54" s="50" t="n">
        <f aca="false">_xlfn.XLOOKUP(B54, ノード!B:B, ノード!A:A, "")</f>
        <v>10</v>
      </c>
      <c r="B54" s="50" t="s">
        <v>127</v>
      </c>
      <c r="C54" s="50" t="n">
        <v>9</v>
      </c>
      <c r="D54" s="50" t="n">
        <f aca="false">INT(D53*2)</f>
        <v>2560</v>
      </c>
    </row>
    <row r="55" customFormat="false" ht="12.75" hidden="false" customHeight="false" outlineLevel="0" collapsed="false">
      <c r="A55" s="50" t="n">
        <f aca="false">_xlfn.XLOOKUP(B55, ノード!B:B, ノード!A:A, "")</f>
        <v>10</v>
      </c>
      <c r="B55" s="50" t="s">
        <v>127</v>
      </c>
      <c r="C55" s="50" t="n">
        <v>10</v>
      </c>
      <c r="D55" s="50" t="n">
        <f aca="false">INT(D54*2)</f>
        <v>5120</v>
      </c>
    </row>
    <row r="56" customFormat="false" ht="12.75" hidden="false" customHeight="false" outlineLevel="0" collapsed="false">
      <c r="A56" s="46" t="s">
        <v>111</v>
      </c>
      <c r="B56" s="46"/>
      <c r="C56" s="46"/>
      <c r="D56" s="46"/>
    </row>
    <row r="57" customFormat="false" ht="13.8" hidden="false" customHeight="false" outlineLevel="0" collapsed="false"/>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c r="A61" s="59" t="s">
        <v>112</v>
      </c>
    </row>
    <row r="62" customFormat="false" ht="13.8" hidden="false" customHeight="false" outlineLevel="0" collapsed="false">
      <c r="A62" s="44" t="s">
        <v>132</v>
      </c>
    </row>
  </sheetData>
  <dataValidations count="1">
    <dataValidation allowBlank="true" errorStyle="stop" operator="between" showDropDown="false" showErrorMessage="true" showInputMessage="true" sqref="B6:B55" type="list">
      <formula1>ノード!$B$6:$B$210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S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N8" activeCellId="0" sqref="N8"/>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9.45"/>
    <col collapsed="false" customWidth="true" hidden="false" outlineLevel="0" max="14" min="5" style="44" width="6.91"/>
    <col collapsed="false" customWidth="true" hidden="false" outlineLevel="0" max="15" min="15" style="44" width="12.09"/>
    <col collapsed="false" customWidth="true" hidden="false" outlineLevel="0" max="18" min="16" style="45" width="12.09"/>
    <col collapsed="false" customWidth="false" hidden="false" outlineLevel="0" max="16384" min="19" style="45" width="9"/>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92</v>
      </c>
      <c r="B3" s="46"/>
      <c r="C3" s="46"/>
      <c r="D3" s="46"/>
      <c r="E3" s="46"/>
      <c r="F3" s="46"/>
      <c r="G3" s="46"/>
      <c r="H3" s="46"/>
      <c r="I3" s="46"/>
      <c r="J3" s="46"/>
      <c r="K3" s="46"/>
      <c r="L3" s="46"/>
      <c r="M3" s="46"/>
      <c r="N3" s="46"/>
      <c r="O3" s="46"/>
      <c r="P3" s="46"/>
      <c r="Q3" s="46"/>
      <c r="R3" s="46"/>
    </row>
    <row r="4" customFormat="false" ht="13.8" hidden="false" customHeight="false" outlineLevel="0" collapsed="false">
      <c r="A4" s="47" t="s">
        <v>93</v>
      </c>
      <c r="B4" s="60" t="s">
        <v>94</v>
      </c>
      <c r="C4" s="47" t="s">
        <v>133</v>
      </c>
      <c r="D4" s="47" t="s">
        <v>134</v>
      </c>
      <c r="E4" s="48" t="s">
        <v>135</v>
      </c>
      <c r="F4" s="48" t="s">
        <v>136</v>
      </c>
      <c r="G4" s="48" t="s">
        <v>137</v>
      </c>
      <c r="H4" s="48" t="s">
        <v>138</v>
      </c>
      <c r="I4" s="48" t="s">
        <v>139</v>
      </c>
      <c r="J4" s="48" t="s">
        <v>140</v>
      </c>
      <c r="K4" s="48" t="s">
        <v>141</v>
      </c>
      <c r="L4" s="48" t="s">
        <v>142</v>
      </c>
      <c r="M4" s="48" t="s">
        <v>143</v>
      </c>
      <c r="N4" s="48" t="s">
        <v>144</v>
      </c>
      <c r="O4" s="61" t="s">
        <v>145</v>
      </c>
      <c r="P4" s="61" t="s">
        <v>146</v>
      </c>
      <c r="Q4" s="61" t="s">
        <v>147</v>
      </c>
      <c r="R4" s="61" t="s">
        <v>148</v>
      </c>
    </row>
    <row r="5" customFormat="false" ht="13.8" hidden="false" customHeight="false" outlineLevel="0" collapsed="false">
      <c r="A5" s="49" t="s">
        <v>99</v>
      </c>
      <c r="B5" s="49" t="s">
        <v>100</v>
      </c>
      <c r="C5" s="49" t="s">
        <v>149</v>
      </c>
      <c r="D5" s="49" t="s">
        <v>150</v>
      </c>
      <c r="E5" s="49"/>
      <c r="F5" s="49"/>
      <c r="G5" s="49"/>
      <c r="H5" s="49"/>
      <c r="I5" s="49"/>
      <c r="J5" s="49"/>
      <c r="K5" s="49"/>
      <c r="L5" s="49"/>
      <c r="M5" s="49"/>
      <c r="N5" s="49"/>
      <c r="O5" s="62" t="s">
        <v>151</v>
      </c>
      <c r="P5" s="62" t="s">
        <v>152</v>
      </c>
      <c r="Q5" s="62" t="s">
        <v>153</v>
      </c>
      <c r="R5" s="62" t="s">
        <v>154</v>
      </c>
    </row>
    <row r="6" customFormat="false" ht="13.8" hidden="false" customHeight="false" outlineLevel="0" collapsed="false">
      <c r="A6" s="50" t="n">
        <f aca="false">_xlfn.XLOOKUP(B6, ノード!B:B, ノード!A:A, "")</f>
        <v>1</v>
      </c>
      <c r="B6" s="50" t="s">
        <v>118</v>
      </c>
      <c r="C6" s="50" t="n">
        <v>0</v>
      </c>
      <c r="D6" s="50" t="n">
        <v>1000</v>
      </c>
      <c r="E6" s="50"/>
      <c r="F6" s="50"/>
      <c r="G6" s="50"/>
      <c r="H6" s="50"/>
      <c r="I6" s="50"/>
      <c r="J6" s="50"/>
      <c r="K6" s="50"/>
      <c r="L6" s="50"/>
      <c r="M6" s="50" t="s">
        <v>105</v>
      </c>
      <c r="N6" s="50" t="n">
        <v>10</v>
      </c>
      <c r="O6" s="63" t="str">
        <f aca="false">"[" &amp; _xlfn.TEXTJOIN(",", 1,   IFERROR(INDEX(素材!A:A, MATCH(E6, 素材!B:B, 0)), ""),   IFERROR(INDEX(素材!A:A, MATCH(G6, 素材!B:B, 0)), ""),   IFERROR(INDEX(素材!A:A, MATCH(I6, 素材!B:B, 0)), ""),   IFERROR(INDEX(素材!A:A, MATCH(K6, 素材!B:B, 0)), "") ) &amp; "]"</f>
        <v>[]</v>
      </c>
      <c r="P6" s="63" t="str">
        <f aca="false">"[" &amp; _xlfn.TEXTJOIN(",", 1,   IF(ISNUMBER(MATCH(E6, 素材!B:B, 0)), F6, ""),   IF(ISNUMBER(MATCH(G6, 素材!B:B, 0)), H6, ""),   IF(ISNUMBER(MATCH(I6, 素材!B:B, 0)), J6, ""),   IF(ISNUMBER(MATCH(K6, 素材!B:B, 0)), L6, "") ) &amp; "]"</f>
        <v>[]</v>
      </c>
      <c r="Q6" s="63" t="str">
        <f aca="false">"[" &amp; _xlfn.TEXTJOIN(",", 1,   IFERROR(INDEX(素材!A:A, MATCH(M6, 素材!B:B, 0)), "") ) &amp; "]"</f>
        <v>[2]</v>
      </c>
      <c r="R6" s="64" t="str">
        <f aca="false">"[" &amp; _xlfn.TEXTJOIN(",", 1, IF(ISNUMBER(MATCH(M6, 素材!B:B, 0)), N6, "") ) &amp; "]"</f>
        <v>[10]</v>
      </c>
      <c r="S6" s="45" t="str">
        <f aca="false">IFERROR(N6/(F6+H6+J6+L6),"-")</f>
        <v>-</v>
      </c>
    </row>
    <row r="7" customFormat="false" ht="13.8" hidden="false" customHeight="false" outlineLevel="0" collapsed="false">
      <c r="A7" s="50" t="n">
        <f aca="false">_xlfn.XLOOKUP(B7, ノード!B:B, ノード!A:A, "")</f>
        <v>2</v>
      </c>
      <c r="B7" s="50" t="s">
        <v>119</v>
      </c>
      <c r="C7" s="50" t="n">
        <v>0</v>
      </c>
      <c r="D7" s="50" t="n">
        <v>1000</v>
      </c>
      <c r="E7" s="50"/>
      <c r="F7" s="50"/>
      <c r="G7" s="50"/>
      <c r="H7" s="50"/>
      <c r="I7" s="50"/>
      <c r="J7" s="50"/>
      <c r="K7" s="50"/>
      <c r="L7" s="50"/>
      <c r="M7" s="50" t="s">
        <v>106</v>
      </c>
      <c r="N7" s="50" t="n">
        <v>10</v>
      </c>
      <c r="O7" s="63" t="str">
        <f aca="false">"[" &amp; _xlfn.TEXTJOIN(",", 1,   IFERROR(INDEX(素材!A:A, MATCH(E7, 素材!B:B, 0)), ""),   IFERROR(INDEX(素材!A:A, MATCH(G7, 素材!B:B, 0)), ""),   IFERROR(INDEX(素材!A:A, MATCH(I7, 素材!B:B, 0)), ""),   IFERROR(INDEX(素材!A:A, MATCH(K7, 素材!B:B, 0)), "") ) &amp; "]"</f>
        <v>[]</v>
      </c>
      <c r="P7" s="63" t="str">
        <f aca="false">"[" &amp; _xlfn.TEXTJOIN(",", 1,   IF(ISNUMBER(MATCH(E7, 素材!B:B, 0)), F7, ""),   IF(ISNUMBER(MATCH(G7, 素材!B:B, 0)), H7, ""),   IF(ISNUMBER(MATCH(I7, 素材!B:B, 0)), J7, ""),   IF(ISNUMBER(MATCH(K7, 素材!B:B, 0)), L7, "") ) &amp; "]"</f>
        <v>[]</v>
      </c>
      <c r="Q7" s="63" t="str">
        <f aca="false">"[" &amp; _xlfn.TEXTJOIN(",", 1,   IFERROR(INDEX(素材!A:A, MATCH(M7, 素材!B:B, 0)), "") ) &amp; "]"</f>
        <v>[3]</v>
      </c>
      <c r="R7" s="64" t="str">
        <f aca="false">"[" &amp; _xlfn.TEXTJOIN(",", 1, IF(ISNUMBER(MATCH(M7, 素材!B:B, 0)), N7, "") ) &amp; "]"</f>
        <v>[10]</v>
      </c>
      <c r="S7" s="45" t="str">
        <f aca="false">IFERROR(N7/(F7+H7+J7+L7),"-")</f>
        <v>-</v>
      </c>
    </row>
    <row r="8" customFormat="false" ht="13.8" hidden="false" customHeight="false" outlineLevel="0" collapsed="false">
      <c r="A8" s="50" t="n">
        <f aca="false">_xlfn.XLOOKUP(B8, ノード!B:B, ノード!A:A, "")</f>
        <v>3</v>
      </c>
      <c r="B8" s="50" t="s">
        <v>120</v>
      </c>
      <c r="C8" s="50" t="n">
        <v>1</v>
      </c>
      <c r="D8" s="50" t="n">
        <v>1000</v>
      </c>
      <c r="E8" s="50" t="s">
        <v>105</v>
      </c>
      <c r="F8" s="50" t="n">
        <v>2</v>
      </c>
      <c r="G8" s="50"/>
      <c r="H8" s="50"/>
      <c r="I8" s="50"/>
      <c r="J8" s="50"/>
      <c r="K8" s="50"/>
      <c r="L8" s="50"/>
      <c r="M8" s="50" t="s">
        <v>107</v>
      </c>
      <c r="N8" s="50" t="n">
        <v>4</v>
      </c>
      <c r="O8" s="63" t="str">
        <f aca="false">"[" &amp; _xlfn.TEXTJOIN(",", 1,   IFERROR(INDEX(素材!A:A, MATCH(E8, 素材!B:B, 0)), ""),   IFERROR(INDEX(素材!A:A, MATCH(G8, 素材!B:B, 0)), ""),   IFERROR(INDEX(素材!A:A, MATCH(I8, 素材!B:B, 0)), ""),   IFERROR(INDEX(素材!A:A, MATCH(K8, 素材!B:B, 0)), "") ) &amp; "]"</f>
        <v>[2]</v>
      </c>
      <c r="P8" s="63" t="str">
        <f aca="false">"[" &amp; _xlfn.TEXTJOIN(",", 1,   IF(ISNUMBER(MATCH(E8, 素材!B:B, 0)), F8, ""),   IF(ISNUMBER(MATCH(G8, 素材!B:B, 0)), H8, ""),   IF(ISNUMBER(MATCH(I8, 素材!B:B, 0)), J8, ""),   IF(ISNUMBER(MATCH(K8, 素材!B:B, 0)), L8, "") ) &amp; "]"</f>
        <v>[2]</v>
      </c>
      <c r="Q8" s="63" t="str">
        <f aca="false">"[" &amp; _xlfn.TEXTJOIN(",", 1,   IFERROR(INDEX(素材!A:A, MATCH(M8, 素材!B:B, 0)), "") ) &amp; "]"</f>
        <v>[4]</v>
      </c>
      <c r="R8" s="64" t="str">
        <f aca="false">"[" &amp; _xlfn.TEXTJOIN(",", 1, IF(ISNUMBER(MATCH(M8, 素材!B:B, 0)), N8, "") ) &amp; "]"</f>
        <v>[4]</v>
      </c>
      <c r="S8" s="45" t="n">
        <f aca="false">IFERROR(N8/(F8+H8+J8+L8),"-")</f>
        <v>2</v>
      </c>
    </row>
    <row r="9" customFormat="false" ht="13.8" hidden="false" customHeight="false" outlineLevel="0" collapsed="false">
      <c r="A9" s="50" t="n">
        <f aca="false">_xlfn.XLOOKUP(B9, ノード!B:B, ノード!A:A, "")</f>
        <v>3</v>
      </c>
      <c r="B9" s="50" t="s">
        <v>120</v>
      </c>
      <c r="C9" s="50" t="n">
        <v>2</v>
      </c>
      <c r="D9" s="50" t="n">
        <v>2000</v>
      </c>
      <c r="E9" s="50" t="s">
        <v>105</v>
      </c>
      <c r="F9" s="50" t="n">
        <v>4</v>
      </c>
      <c r="G9" s="50" t="s">
        <v>108</v>
      </c>
      <c r="H9" s="50" t="n">
        <v>1</v>
      </c>
      <c r="I9" s="50"/>
      <c r="J9" s="50"/>
      <c r="K9" s="50"/>
      <c r="L9" s="50"/>
      <c r="M9" s="50" t="s">
        <v>107</v>
      </c>
      <c r="N9" s="50" t="n">
        <v>10</v>
      </c>
      <c r="O9" s="63" t="str">
        <f aca="false">"[" &amp; _xlfn.TEXTJOIN(",", 1,   IFERROR(INDEX(素材!A:A, MATCH(E9, 素材!B:B, 0)), ""),   IFERROR(INDEX(素材!A:A, MATCH(G9, 素材!B:B, 0)), ""),   IFERROR(INDEX(素材!A:A, MATCH(I9, 素材!B:B, 0)), ""),   IFERROR(INDEX(素材!A:A, MATCH(K9, 素材!B:B, 0)), "") ) &amp; "]"</f>
        <v>[2,5]</v>
      </c>
      <c r="P9" s="63" t="str">
        <f aca="false">"[" &amp; _xlfn.TEXTJOIN(",", 1,   IF(ISNUMBER(MATCH(E9, 素材!B:B, 0)), F9, ""),   IF(ISNUMBER(MATCH(G9, 素材!B:B, 0)), H9, ""),   IF(ISNUMBER(MATCH(I9, 素材!B:B, 0)), J9, ""),   IF(ISNUMBER(MATCH(K9, 素材!B:B, 0)), L9, "") ) &amp; "]"</f>
        <v>[4,1]</v>
      </c>
      <c r="Q9" s="63" t="str">
        <f aca="false">"[" &amp; _xlfn.TEXTJOIN(",", 1,   IFERROR(INDEX(素材!A:A, MATCH(M9, 素材!B:B, 0)), "") ) &amp; "]"</f>
        <v>[4]</v>
      </c>
      <c r="R9" s="64" t="str">
        <f aca="false">"[" &amp; _xlfn.TEXTJOIN(",", 1, IF(ISNUMBER(MATCH(M9, 素材!B:B, 0)), N9, "") ) &amp; "]"</f>
        <v>[10]</v>
      </c>
      <c r="S9" s="45" t="n">
        <f aca="false">IFERROR(N9/(F9+H9+J9+L9),"-")</f>
        <v>2</v>
      </c>
    </row>
    <row r="10" customFormat="false" ht="13.8" hidden="false" customHeight="false" outlineLevel="0" collapsed="false">
      <c r="A10" s="50" t="n">
        <f aca="false">_xlfn.XLOOKUP(B10, ノード!B:B, ノード!A:A, "")</f>
        <v>3</v>
      </c>
      <c r="B10" s="50" t="s">
        <v>120</v>
      </c>
      <c r="C10" s="50" t="n">
        <v>3</v>
      </c>
      <c r="D10" s="50" t="n">
        <v>3000</v>
      </c>
      <c r="E10" s="50" t="s">
        <v>105</v>
      </c>
      <c r="F10" s="50" t="n">
        <v>6</v>
      </c>
      <c r="G10" s="50" t="s">
        <v>108</v>
      </c>
      <c r="H10" s="50" t="n">
        <v>3</v>
      </c>
      <c r="I10" s="50" t="s">
        <v>109</v>
      </c>
      <c r="J10" s="50" t="n">
        <v>1</v>
      </c>
      <c r="K10" s="50"/>
      <c r="L10" s="50"/>
      <c r="M10" s="50" t="s">
        <v>107</v>
      </c>
      <c r="N10" s="50" t="n">
        <v>20</v>
      </c>
      <c r="O10" s="63" t="str">
        <f aca="false">"[" &amp; _xlfn.TEXTJOIN(",", 1,   IFERROR(INDEX(素材!A:A, MATCH(E10, 素材!B:B, 0)), ""),   IFERROR(INDEX(素材!A:A, MATCH(G10, 素材!B:B, 0)), ""),   IFERROR(INDEX(素材!A:A, MATCH(I10, 素材!B:B, 0)), ""),   IFERROR(INDEX(素材!A:A, MATCH(K10, 素材!B:B, 0)), "") ) &amp; "]"</f>
        <v>[2,5,6]</v>
      </c>
      <c r="P10" s="63" t="str">
        <f aca="false">"[" &amp; _xlfn.TEXTJOIN(",", 1,   IF(ISNUMBER(MATCH(E10, 素材!B:B, 0)), F10, ""),   IF(ISNUMBER(MATCH(G10, 素材!B:B, 0)), H10, ""),   IF(ISNUMBER(MATCH(I10, 素材!B:B, 0)), J10, ""),   IF(ISNUMBER(MATCH(K10, 素材!B:B, 0)), L10, "") ) &amp; "]"</f>
        <v>[6,3,1]</v>
      </c>
      <c r="Q10" s="63" t="str">
        <f aca="false">"[" &amp; _xlfn.TEXTJOIN(",", 1,   IFERROR(INDEX(素材!A:A, MATCH(M10, 素材!B:B, 0)), "") ) &amp; "]"</f>
        <v>[4]</v>
      </c>
      <c r="R10" s="64" t="str">
        <f aca="false">"[" &amp; _xlfn.TEXTJOIN(",", 1, IF(ISNUMBER(MATCH(M10, 素材!B:B, 0)), N10, "") ) &amp; "]"</f>
        <v>[20]</v>
      </c>
      <c r="S10" s="45" t="n">
        <f aca="false">IFERROR(N10/(F10+H10+J10+L10),"-")</f>
        <v>2</v>
      </c>
    </row>
    <row r="11" customFormat="false" ht="13.8" hidden="false" customHeight="false" outlineLevel="0" collapsed="false">
      <c r="A11" s="50" t="n">
        <f aca="false">_xlfn.XLOOKUP(B11, ノード!B:B, ノード!A:A, "")</f>
        <v>3</v>
      </c>
      <c r="B11" s="50" t="s">
        <v>120</v>
      </c>
      <c r="C11" s="50" t="n">
        <v>4</v>
      </c>
      <c r="D11" s="50" t="n">
        <v>4000</v>
      </c>
      <c r="E11" s="50" t="s">
        <v>105</v>
      </c>
      <c r="F11" s="50" t="n">
        <v>8</v>
      </c>
      <c r="G11" s="50" t="s">
        <v>108</v>
      </c>
      <c r="H11" s="50" t="n">
        <v>4</v>
      </c>
      <c r="I11" s="50" t="s">
        <v>109</v>
      </c>
      <c r="J11" s="50" t="n">
        <v>2</v>
      </c>
      <c r="K11" s="50"/>
      <c r="L11" s="50"/>
      <c r="M11" s="50" t="s">
        <v>107</v>
      </c>
      <c r="N11" s="50" t="n">
        <v>30</v>
      </c>
      <c r="O11" s="63" t="str">
        <f aca="false">"[" &amp; _xlfn.TEXTJOIN(",", 1,   IFERROR(INDEX(素材!A:A, MATCH(E11, 素材!B:B, 0)), ""),   IFERROR(INDEX(素材!A:A, MATCH(G11, 素材!B:B, 0)), ""),   IFERROR(INDEX(素材!A:A, MATCH(I11, 素材!B:B, 0)), ""),   IFERROR(INDEX(素材!A:A, MATCH(K11, 素材!B:B, 0)), "") ) &amp; "]"</f>
        <v>[2,5,6]</v>
      </c>
      <c r="P11" s="63" t="str">
        <f aca="false">"[" &amp; _xlfn.TEXTJOIN(",", 1,   IF(ISNUMBER(MATCH(E11, 素材!B:B, 0)), F11, ""),   IF(ISNUMBER(MATCH(G11, 素材!B:B, 0)), H11, ""),   IF(ISNUMBER(MATCH(I11, 素材!B:B, 0)), J11, ""),   IF(ISNUMBER(MATCH(K11, 素材!B:B, 0)), L11, "") ) &amp; "]"</f>
        <v>[8,4,2]</v>
      </c>
      <c r="Q11" s="63" t="str">
        <f aca="false">"[" &amp; _xlfn.TEXTJOIN(",", 1,   IFERROR(INDEX(素材!A:A, MATCH(M11, 素材!B:B, 0)), "") ) &amp; "]"</f>
        <v>[4]</v>
      </c>
      <c r="R11" s="64" t="str">
        <f aca="false">"[" &amp; _xlfn.TEXTJOIN(",", 1, IF(ISNUMBER(MATCH(M11, 素材!B:B, 0)), N11, "") ) &amp; "]"</f>
        <v>[30]</v>
      </c>
      <c r="S11" s="45" t="n">
        <f aca="false">IFERROR(N11/(F11+H11+J11+L11),"-")</f>
        <v>2.14285714285714</v>
      </c>
    </row>
    <row r="12" customFormat="false" ht="13.8" hidden="false" customHeight="false" outlineLevel="0" collapsed="false">
      <c r="A12" s="50" t="n">
        <f aca="false">_xlfn.XLOOKUP(B12, ノード!B:B, ノード!A:A, "")</f>
        <v>3</v>
      </c>
      <c r="B12" s="50" t="s">
        <v>120</v>
      </c>
      <c r="C12" s="50" t="n">
        <v>5</v>
      </c>
      <c r="D12" s="50" t="n">
        <v>5000</v>
      </c>
      <c r="E12" s="50" t="s">
        <v>105</v>
      </c>
      <c r="F12" s="50" t="n">
        <v>10</v>
      </c>
      <c r="G12" s="50" t="s">
        <v>108</v>
      </c>
      <c r="H12" s="50" t="n">
        <v>5</v>
      </c>
      <c r="I12" s="50" t="s">
        <v>109</v>
      </c>
      <c r="J12" s="50" t="n">
        <v>4</v>
      </c>
      <c r="K12" s="50"/>
      <c r="L12" s="50"/>
      <c r="M12" s="50" t="s">
        <v>107</v>
      </c>
      <c r="N12" s="50" t="n">
        <v>55</v>
      </c>
      <c r="O12" s="63" t="str">
        <f aca="false">"[" &amp; _xlfn.TEXTJOIN(",", 1,   IFERROR(INDEX(素材!A:A, MATCH(E12, 素材!B:B, 0)), ""),   IFERROR(INDEX(素材!A:A, MATCH(G12, 素材!B:B, 0)), ""),   IFERROR(INDEX(素材!A:A, MATCH(I12, 素材!B:B, 0)), ""),   IFERROR(INDEX(素材!A:A, MATCH(K12, 素材!B:B, 0)), "") ) &amp; "]"</f>
        <v>[2,5,6]</v>
      </c>
      <c r="P12" s="63" t="str">
        <f aca="false">"[" &amp; _xlfn.TEXTJOIN(",", 1,   IF(ISNUMBER(MATCH(E12, 素材!B:B, 0)), F12, ""),   IF(ISNUMBER(MATCH(G12, 素材!B:B, 0)), H12, ""),   IF(ISNUMBER(MATCH(I12, 素材!B:B, 0)), J12, ""),   IF(ISNUMBER(MATCH(K12, 素材!B:B, 0)), L12, "") ) &amp; "]"</f>
        <v>[10,5,4]</v>
      </c>
      <c r="Q12" s="63" t="str">
        <f aca="false">"[" &amp; _xlfn.TEXTJOIN(",", 1,   IFERROR(INDEX(素材!A:A, MATCH(M12, 素材!B:B, 0)), "") ) &amp; "]"</f>
        <v>[4]</v>
      </c>
      <c r="R12" s="64" t="str">
        <f aca="false">"[" &amp; _xlfn.TEXTJOIN(",", 1, IF(ISNUMBER(MATCH(M12, 素材!B:B, 0)), N12, "") ) &amp; "]"</f>
        <v>[55]</v>
      </c>
      <c r="S12" s="45" t="n">
        <f aca="false">IFERROR(N12/(F12+H12+J12+L12),"-")</f>
        <v>2.89473684210526</v>
      </c>
    </row>
    <row r="13" customFormat="false" ht="13.8" hidden="false" customHeight="false" outlineLevel="0" collapsed="false">
      <c r="A13" s="50" t="n">
        <f aca="false">_xlfn.XLOOKUP(B13, ノード!B:B, ノード!A:A, "")</f>
        <v>3</v>
      </c>
      <c r="B13" s="50" t="s">
        <v>120</v>
      </c>
      <c r="C13" s="50" t="n">
        <v>6</v>
      </c>
      <c r="D13" s="50" t="n">
        <v>6000</v>
      </c>
      <c r="E13" s="50" t="s">
        <v>105</v>
      </c>
      <c r="F13" s="50" t="n">
        <v>12</v>
      </c>
      <c r="G13" s="50" t="s">
        <v>108</v>
      </c>
      <c r="H13" s="50" t="n">
        <v>6</v>
      </c>
      <c r="I13" s="50" t="s">
        <v>109</v>
      </c>
      <c r="J13" s="50" t="n">
        <v>7</v>
      </c>
      <c r="K13" s="50"/>
      <c r="L13" s="50"/>
      <c r="M13" s="50" t="s">
        <v>107</v>
      </c>
      <c r="N13" s="50" t="n">
        <v>75</v>
      </c>
      <c r="O13" s="63" t="str">
        <f aca="false">"[" &amp; _xlfn.TEXTJOIN(",", 1,   IFERROR(INDEX(素材!A:A, MATCH(E13, 素材!B:B, 0)), ""),   IFERROR(INDEX(素材!A:A, MATCH(G13, 素材!B:B, 0)), ""),   IFERROR(INDEX(素材!A:A, MATCH(I13, 素材!B:B, 0)), ""),   IFERROR(INDEX(素材!A:A, MATCH(K13, 素材!B:B, 0)), "") ) &amp; "]"</f>
        <v>[2,5,6]</v>
      </c>
      <c r="P13" s="63" t="str">
        <f aca="false">"[" &amp; _xlfn.TEXTJOIN(",", 1,   IF(ISNUMBER(MATCH(E13, 素材!B:B, 0)), F13, ""),   IF(ISNUMBER(MATCH(G13, 素材!B:B, 0)), H13, ""),   IF(ISNUMBER(MATCH(I13, 素材!B:B, 0)), J13, ""),   IF(ISNUMBER(MATCH(K13, 素材!B:B, 0)), L13, "") ) &amp; "]"</f>
        <v>[12,6,7]</v>
      </c>
      <c r="Q13" s="63" t="str">
        <f aca="false">"[" &amp; _xlfn.TEXTJOIN(",", 1,   IFERROR(INDEX(素材!A:A, MATCH(M13, 素材!B:B, 0)), "") ) &amp; "]"</f>
        <v>[4]</v>
      </c>
      <c r="R13" s="64" t="str">
        <f aca="false">"[" &amp; _xlfn.TEXTJOIN(",", 1, IF(ISNUMBER(MATCH(M13, 素材!B:B, 0)), N13, "") ) &amp; "]"</f>
        <v>[75]</v>
      </c>
      <c r="S13" s="45" t="n">
        <f aca="false">IFERROR(N13/(F13+H13+J13+L13),"-")</f>
        <v>3</v>
      </c>
    </row>
    <row r="14" customFormat="false" ht="13.8" hidden="false" customHeight="false" outlineLevel="0" collapsed="false">
      <c r="A14" s="50" t="n">
        <f aca="false">_xlfn.XLOOKUP(B14, ノード!B:B, ノード!A:A, "")</f>
        <v>3</v>
      </c>
      <c r="B14" s="50" t="s">
        <v>120</v>
      </c>
      <c r="C14" s="50" t="n">
        <v>7</v>
      </c>
      <c r="D14" s="50" t="n">
        <v>7000</v>
      </c>
      <c r="E14" s="50" t="s">
        <v>105</v>
      </c>
      <c r="F14" s="50" t="n">
        <v>14</v>
      </c>
      <c r="G14" s="50" t="s">
        <v>108</v>
      </c>
      <c r="H14" s="50" t="n">
        <v>7</v>
      </c>
      <c r="I14" s="50" t="s">
        <v>109</v>
      </c>
      <c r="J14" s="50" t="n">
        <v>11</v>
      </c>
      <c r="K14" s="50"/>
      <c r="L14" s="50"/>
      <c r="M14" s="50" t="s">
        <v>107</v>
      </c>
      <c r="N14" s="50" t="n">
        <v>100</v>
      </c>
      <c r="O14" s="63" t="str">
        <f aca="false">"[" &amp; _xlfn.TEXTJOIN(",", 1,   IFERROR(INDEX(素材!A:A, MATCH(E14, 素材!B:B, 0)), ""),   IFERROR(INDEX(素材!A:A, MATCH(G14, 素材!B:B, 0)), ""),   IFERROR(INDEX(素材!A:A, MATCH(I14, 素材!B:B, 0)), ""),   IFERROR(INDEX(素材!A:A, MATCH(K14, 素材!B:B, 0)), "") ) &amp; "]"</f>
        <v>[2,5,6]</v>
      </c>
      <c r="P14" s="63" t="str">
        <f aca="false">"[" &amp; _xlfn.TEXTJOIN(",", 1,   IF(ISNUMBER(MATCH(E14, 素材!B:B, 0)), F14, ""),   IF(ISNUMBER(MATCH(G14, 素材!B:B, 0)), H14, ""),   IF(ISNUMBER(MATCH(I14, 素材!B:B, 0)), J14, ""),   IF(ISNUMBER(MATCH(K14, 素材!B:B, 0)), L14, "") ) &amp; "]"</f>
        <v>[14,7,11]</v>
      </c>
      <c r="Q14" s="63" t="str">
        <f aca="false">"[" &amp; _xlfn.TEXTJOIN(",", 1,   IFERROR(INDEX(素材!A:A, MATCH(M14, 素材!B:B, 0)), "") ) &amp; "]"</f>
        <v>[4]</v>
      </c>
      <c r="R14" s="64" t="str">
        <f aca="false">"[" &amp; _xlfn.TEXTJOIN(",", 1, IF(ISNUMBER(MATCH(M14, 素材!B:B, 0)), N14, "") ) &amp; "]"</f>
        <v>[100]</v>
      </c>
      <c r="S14" s="45" t="n">
        <f aca="false">IFERROR(N14/(F14+H14+J14+L14),"-")</f>
        <v>3.125</v>
      </c>
    </row>
    <row r="15" customFormat="false" ht="13.8" hidden="false" customHeight="false" outlineLevel="0" collapsed="false">
      <c r="A15" s="50" t="n">
        <f aca="false">_xlfn.XLOOKUP(B15, ノード!B:B, ノード!A:A, "")</f>
        <v>3</v>
      </c>
      <c r="B15" s="50" t="s">
        <v>120</v>
      </c>
      <c r="C15" s="50" t="n">
        <v>8</v>
      </c>
      <c r="D15" s="50" t="n">
        <v>8000</v>
      </c>
      <c r="E15" s="50" t="s">
        <v>105</v>
      </c>
      <c r="F15" s="50" t="n">
        <v>16</v>
      </c>
      <c r="G15" s="50" t="s">
        <v>108</v>
      </c>
      <c r="H15" s="50" t="n">
        <v>8</v>
      </c>
      <c r="I15" s="50" t="s">
        <v>109</v>
      </c>
      <c r="J15" s="50" t="n">
        <v>16</v>
      </c>
      <c r="K15" s="50"/>
      <c r="L15" s="50"/>
      <c r="M15" s="50" t="s">
        <v>107</v>
      </c>
      <c r="N15" s="50" t="n">
        <v>130</v>
      </c>
      <c r="O15" s="63" t="str">
        <f aca="false">"[" &amp; _xlfn.TEXTJOIN(",", 1,   IFERROR(INDEX(素材!A:A, MATCH(E15, 素材!B:B, 0)), ""),   IFERROR(INDEX(素材!A:A, MATCH(G15, 素材!B:B, 0)), ""),   IFERROR(INDEX(素材!A:A, MATCH(I15, 素材!B:B, 0)), ""),   IFERROR(INDEX(素材!A:A, MATCH(K15, 素材!B:B, 0)), "") ) &amp; "]"</f>
        <v>[2,5,6]</v>
      </c>
      <c r="P15" s="63" t="str">
        <f aca="false">"[" &amp; _xlfn.TEXTJOIN(",", 1,   IF(ISNUMBER(MATCH(E15, 素材!B:B, 0)), F15, ""),   IF(ISNUMBER(MATCH(G15, 素材!B:B, 0)), H15, ""),   IF(ISNUMBER(MATCH(I15, 素材!B:B, 0)), J15, ""),   IF(ISNUMBER(MATCH(K15, 素材!B:B, 0)), L15, "") ) &amp; "]"</f>
        <v>[16,8,16]</v>
      </c>
      <c r="Q15" s="63" t="str">
        <f aca="false">"[" &amp; _xlfn.TEXTJOIN(",", 1,   IFERROR(INDEX(素材!A:A, MATCH(M15, 素材!B:B, 0)), "") ) &amp; "]"</f>
        <v>[4]</v>
      </c>
      <c r="R15" s="64" t="str">
        <f aca="false">"[" &amp; _xlfn.TEXTJOIN(",", 1, IF(ISNUMBER(MATCH(M15, 素材!B:B, 0)), N15, "") ) &amp; "]"</f>
        <v>[130]</v>
      </c>
      <c r="S15" s="45" t="n">
        <f aca="false">IFERROR(N15/(F15+H15+J15+L15),"-")</f>
        <v>3.25</v>
      </c>
    </row>
    <row r="16" customFormat="false" ht="13.8" hidden="false" customHeight="false" outlineLevel="0" collapsed="false">
      <c r="A16" s="50" t="n">
        <f aca="false">_xlfn.XLOOKUP(B16, ノード!B:B, ノード!A:A, "")</f>
        <v>3</v>
      </c>
      <c r="B16" s="50" t="s">
        <v>120</v>
      </c>
      <c r="C16" s="50" t="n">
        <v>9</v>
      </c>
      <c r="D16" s="50" t="n">
        <v>9000</v>
      </c>
      <c r="E16" s="50" t="s">
        <v>105</v>
      </c>
      <c r="F16" s="50" t="n">
        <v>18</v>
      </c>
      <c r="G16" s="50" t="s">
        <v>108</v>
      </c>
      <c r="H16" s="50" t="n">
        <v>9</v>
      </c>
      <c r="I16" s="50" t="s">
        <v>109</v>
      </c>
      <c r="J16" s="50" t="n">
        <v>22</v>
      </c>
      <c r="K16" s="50"/>
      <c r="L16" s="50"/>
      <c r="M16" s="50" t="s">
        <v>107</v>
      </c>
      <c r="N16" s="50" t="n">
        <v>160</v>
      </c>
      <c r="O16" s="63" t="str">
        <f aca="false">"[" &amp; _xlfn.TEXTJOIN(",", 1,   IFERROR(INDEX(素材!A:A, MATCH(E16, 素材!B:B, 0)), ""),   IFERROR(INDEX(素材!A:A, MATCH(G16, 素材!B:B, 0)), ""),   IFERROR(INDEX(素材!A:A, MATCH(I16, 素材!B:B, 0)), ""),   IFERROR(INDEX(素材!A:A, MATCH(K16, 素材!B:B, 0)), "") ) &amp; "]"</f>
        <v>[2,5,6]</v>
      </c>
      <c r="P16" s="63" t="str">
        <f aca="false">"[" &amp; _xlfn.TEXTJOIN(",", 1,   IF(ISNUMBER(MATCH(E16, 素材!B:B, 0)), F16, ""),   IF(ISNUMBER(MATCH(G16, 素材!B:B, 0)), H16, ""),   IF(ISNUMBER(MATCH(I16, 素材!B:B, 0)), J16, ""),   IF(ISNUMBER(MATCH(K16, 素材!B:B, 0)), L16, "") ) &amp; "]"</f>
        <v>[18,9,22]</v>
      </c>
      <c r="Q16" s="63" t="str">
        <f aca="false">"[" &amp; _xlfn.TEXTJOIN(",", 1,   IFERROR(INDEX(素材!A:A, MATCH(M16, 素材!B:B, 0)), "") ) &amp; "]"</f>
        <v>[4]</v>
      </c>
      <c r="R16" s="64" t="str">
        <f aca="false">"[" &amp; _xlfn.TEXTJOIN(",", 1, IF(ISNUMBER(MATCH(M16, 素材!B:B, 0)), N16, "") ) &amp; "]"</f>
        <v>[160]</v>
      </c>
      <c r="S16" s="45" t="n">
        <f aca="false">IFERROR(N16/(F16+H16+J16+L16),"-")</f>
        <v>3.26530612244898</v>
      </c>
    </row>
    <row r="17" customFormat="false" ht="13.8" hidden="false" customHeight="false" outlineLevel="0" collapsed="false">
      <c r="A17" s="50" t="n">
        <f aca="false">_xlfn.XLOOKUP(B17, ノード!B:B, ノード!A:A, "")</f>
        <v>3</v>
      </c>
      <c r="B17" s="50" t="s">
        <v>120</v>
      </c>
      <c r="C17" s="50" t="n">
        <v>10</v>
      </c>
      <c r="D17" s="50" t="n">
        <v>10000</v>
      </c>
      <c r="E17" s="50" t="s">
        <v>105</v>
      </c>
      <c r="F17" s="50" t="n">
        <v>20</v>
      </c>
      <c r="G17" s="50" t="s">
        <v>108</v>
      </c>
      <c r="H17" s="50" t="n">
        <v>10</v>
      </c>
      <c r="I17" s="50" t="s">
        <v>109</v>
      </c>
      <c r="J17" s="50" t="n">
        <v>30</v>
      </c>
      <c r="K17" s="50"/>
      <c r="L17" s="50"/>
      <c r="M17" s="50" t="s">
        <v>107</v>
      </c>
      <c r="N17" s="50" t="n">
        <v>200</v>
      </c>
      <c r="O17" s="63" t="str">
        <f aca="false">"[" &amp; _xlfn.TEXTJOIN(",", 1,   IFERROR(INDEX(素材!A:A, MATCH(E17, 素材!B:B, 0)), ""),   IFERROR(INDEX(素材!A:A, MATCH(G17, 素材!B:B, 0)), ""),   IFERROR(INDEX(素材!A:A, MATCH(I17, 素材!B:B, 0)), ""),   IFERROR(INDEX(素材!A:A, MATCH(K17, 素材!B:B, 0)), "") ) &amp; "]"</f>
        <v>[2,5,6]</v>
      </c>
      <c r="P17" s="63" t="str">
        <f aca="false">"[" &amp; _xlfn.TEXTJOIN(",", 1,   IF(ISNUMBER(MATCH(E17, 素材!B:B, 0)), F17, ""),   IF(ISNUMBER(MATCH(G17, 素材!B:B, 0)), H17, ""),   IF(ISNUMBER(MATCH(I17, 素材!B:B, 0)), J17, ""),   IF(ISNUMBER(MATCH(K17, 素材!B:B, 0)), L17, "") ) &amp; "]"</f>
        <v>[20,10,30]</v>
      </c>
      <c r="Q17" s="63" t="str">
        <f aca="false">"[" &amp; _xlfn.TEXTJOIN(",", 1,   IFERROR(INDEX(素材!A:A, MATCH(M17, 素材!B:B, 0)), "") ) &amp; "]"</f>
        <v>[4]</v>
      </c>
      <c r="R17" s="64" t="str">
        <f aca="false">"[" &amp; _xlfn.TEXTJOIN(",", 1, IF(ISNUMBER(MATCH(M17, 素材!B:B, 0)), N17, "") ) &amp; "]"</f>
        <v>[200]</v>
      </c>
      <c r="S17" s="45" t="n">
        <f aca="false">IFERROR(N17/(F17+H17+J17+L17),"-")</f>
        <v>3.33333333333333</v>
      </c>
    </row>
    <row r="18" customFormat="false" ht="13.8" hidden="false" customHeight="false" outlineLevel="0" collapsed="false">
      <c r="A18" s="50" t="n">
        <f aca="false">_xlfn.XLOOKUP(B18, ノード!B:B, ノード!A:A, "")</f>
        <v>4</v>
      </c>
      <c r="B18" s="50" t="s">
        <v>121</v>
      </c>
      <c r="C18" s="50" t="n">
        <v>0</v>
      </c>
      <c r="D18" s="50" t="n">
        <v>0</v>
      </c>
      <c r="E18" s="50" t="s">
        <v>105</v>
      </c>
      <c r="F18" s="50" t="n">
        <v>2</v>
      </c>
      <c r="G18" s="50" t="s">
        <v>106</v>
      </c>
      <c r="H18" s="50" t="n">
        <v>2</v>
      </c>
      <c r="I18" s="50" t="s">
        <v>107</v>
      </c>
      <c r="J18" s="50" t="n">
        <v>1</v>
      </c>
      <c r="K18" s="50"/>
      <c r="L18" s="50"/>
      <c r="M18" s="50" t="s">
        <v>108</v>
      </c>
      <c r="N18" s="50" t="n">
        <v>3</v>
      </c>
      <c r="O18" s="63" t="str">
        <f aca="false">"[" &amp; _xlfn.TEXTJOIN(",", 1,   IFERROR(INDEX(素材!A:A, MATCH(E18, 素材!B:B, 0)), ""),   IFERROR(INDEX(素材!A:A, MATCH(G18, 素材!B:B, 0)), ""),   IFERROR(INDEX(素材!A:A, MATCH(I18, 素材!B:B, 0)), ""),   IFERROR(INDEX(素材!A:A, MATCH(K18, 素材!B:B, 0)), "") ) &amp; "]"</f>
        <v>[2,3,4]</v>
      </c>
      <c r="P18" s="63" t="str">
        <f aca="false">"[" &amp; _xlfn.TEXTJOIN(",", 1,   IF(ISNUMBER(MATCH(E18, 素材!B:B, 0)), F18, ""),   IF(ISNUMBER(MATCH(G18, 素材!B:B, 0)), H18, ""),   IF(ISNUMBER(MATCH(I18, 素材!B:B, 0)), J18, ""),   IF(ISNUMBER(MATCH(K18, 素材!B:B, 0)), L18, "") ) &amp; "]"</f>
        <v>[2,2,1]</v>
      </c>
      <c r="Q18" s="63" t="str">
        <f aca="false">"[" &amp; _xlfn.TEXTJOIN(",", 1,   IFERROR(INDEX(素材!A:A, MATCH(M18, 素材!B:B, 0)), "") ) &amp; "]"</f>
        <v>[5]</v>
      </c>
      <c r="R18" s="64" t="str">
        <f aca="false">"[" &amp; _xlfn.TEXTJOIN(",", 1, IF(ISNUMBER(MATCH(M18, 素材!B:B, 0)), N18, "") ) &amp; "]"</f>
        <v>[3]</v>
      </c>
      <c r="S18" s="45" t="n">
        <f aca="false">IFERROR(N18/(F18+H18+J18+L18),"-")</f>
        <v>0.6</v>
      </c>
    </row>
    <row r="19" customFormat="false" ht="13.8" hidden="false" customHeight="false" outlineLevel="0" collapsed="false">
      <c r="A19" s="50" t="n">
        <f aca="false">_xlfn.XLOOKUP(B19, ノード!B:B, ノード!A:A, "")</f>
        <v>4</v>
      </c>
      <c r="B19" s="50" t="s">
        <v>121</v>
      </c>
      <c r="C19" s="50" t="n">
        <v>1</v>
      </c>
      <c r="D19" s="50" t="n">
        <v>1000</v>
      </c>
      <c r="E19" s="50" t="s">
        <v>105</v>
      </c>
      <c r="F19" s="50" t="n">
        <v>2</v>
      </c>
      <c r="G19" s="50" t="s">
        <v>106</v>
      </c>
      <c r="H19" s="50" t="n">
        <v>2</v>
      </c>
      <c r="I19" s="50" t="s">
        <v>107</v>
      </c>
      <c r="J19" s="50" t="n">
        <v>1</v>
      </c>
      <c r="K19" s="50"/>
      <c r="L19" s="50"/>
      <c r="M19" s="50" t="s">
        <v>108</v>
      </c>
      <c r="N19" s="50" t="n">
        <v>3</v>
      </c>
      <c r="O19" s="63" t="str">
        <f aca="false">"[" &amp; _xlfn.TEXTJOIN(",", 1,   IFERROR(INDEX(素材!A:A, MATCH(E19, 素材!B:B, 0)), ""),   IFERROR(INDEX(素材!A:A, MATCH(G19, 素材!B:B, 0)), ""),   IFERROR(INDEX(素材!A:A, MATCH(I19, 素材!B:B, 0)), ""),   IFERROR(INDEX(素材!A:A, MATCH(K19, 素材!B:B, 0)), "") ) &amp; "]"</f>
        <v>[2,3,4]</v>
      </c>
      <c r="P19" s="63" t="str">
        <f aca="false">"[" &amp; _xlfn.TEXTJOIN(",", 1,   IF(ISNUMBER(MATCH(E19, 素材!B:B, 0)), F19, ""),   IF(ISNUMBER(MATCH(G19, 素材!B:B, 0)), H19, ""),   IF(ISNUMBER(MATCH(I19, 素材!B:B, 0)), J19, ""),   IF(ISNUMBER(MATCH(K19, 素材!B:B, 0)), L19, "") ) &amp; "]"</f>
        <v>[2,2,1]</v>
      </c>
      <c r="Q19" s="63" t="str">
        <f aca="false">"[" &amp; _xlfn.TEXTJOIN(",", 1,   IFERROR(INDEX(素材!A:A, MATCH(M19, 素材!B:B, 0)), "") ) &amp; "]"</f>
        <v>[5]</v>
      </c>
      <c r="R19" s="64" t="str">
        <f aca="false">"[" &amp; _xlfn.TEXTJOIN(",", 1, IF(ISNUMBER(MATCH(M19, 素材!B:B, 0)), N19, "") ) &amp; "]"</f>
        <v>[3]</v>
      </c>
      <c r="S19" s="45" t="n">
        <f aca="false">IFERROR(N19/(F19+H19+J19+L19),"-")</f>
        <v>0.6</v>
      </c>
    </row>
    <row r="20" customFormat="false" ht="13.8" hidden="false" customHeight="false" outlineLevel="0" collapsed="false">
      <c r="A20" s="50" t="n">
        <f aca="false">_xlfn.XLOOKUP(B20, ノード!B:B, ノード!A:A, "")</f>
        <v>4</v>
      </c>
      <c r="B20" s="50" t="s">
        <v>121</v>
      </c>
      <c r="C20" s="50" t="n">
        <v>2</v>
      </c>
      <c r="D20" s="50" t="n">
        <v>2000</v>
      </c>
      <c r="E20" s="50" t="s">
        <v>105</v>
      </c>
      <c r="F20" s="50" t="n">
        <v>3</v>
      </c>
      <c r="G20" s="50" t="s">
        <v>106</v>
      </c>
      <c r="H20" s="50" t="n">
        <v>3</v>
      </c>
      <c r="I20" s="50" t="s">
        <v>107</v>
      </c>
      <c r="J20" s="50" t="n">
        <v>2</v>
      </c>
      <c r="K20" s="50"/>
      <c r="L20" s="50"/>
      <c r="M20" s="50" t="s">
        <v>108</v>
      </c>
      <c r="N20" s="50" t="n">
        <v>5</v>
      </c>
      <c r="O20" s="63" t="str">
        <f aca="false">"[" &amp; _xlfn.TEXTJOIN(",", 1,   IFERROR(INDEX(素材!A:A, MATCH(E20, 素材!B:B, 0)), ""),   IFERROR(INDEX(素材!A:A, MATCH(G20, 素材!B:B, 0)), ""),   IFERROR(INDEX(素材!A:A, MATCH(I20, 素材!B:B, 0)), ""),   IFERROR(INDEX(素材!A:A, MATCH(K20, 素材!B:B, 0)), "") ) &amp; "]"</f>
        <v>[2,3,4]</v>
      </c>
      <c r="P20" s="63" t="str">
        <f aca="false">"[" &amp; _xlfn.TEXTJOIN(",", 1,   IF(ISNUMBER(MATCH(E20, 素材!B:B, 0)), F20, ""),   IF(ISNUMBER(MATCH(G20, 素材!B:B, 0)), H20, ""),   IF(ISNUMBER(MATCH(I20, 素材!B:B, 0)), J20, ""),   IF(ISNUMBER(MATCH(K20, 素材!B:B, 0)), L20, "") ) &amp; "]"</f>
        <v>[3,3,2]</v>
      </c>
      <c r="Q20" s="63" t="str">
        <f aca="false">"[" &amp; _xlfn.TEXTJOIN(",", 1,   IFERROR(INDEX(素材!A:A, MATCH(M20, 素材!B:B, 0)), "") ) &amp; "]"</f>
        <v>[5]</v>
      </c>
      <c r="R20" s="64" t="str">
        <f aca="false">"[" &amp; _xlfn.TEXTJOIN(",", 1, IF(ISNUMBER(MATCH(M20, 素材!B:B, 0)), N20, "") ) &amp; "]"</f>
        <v>[5]</v>
      </c>
      <c r="S20" s="45" t="n">
        <f aca="false">IFERROR(N20/(F20+H20+J20+L20),"-")</f>
        <v>0.625</v>
      </c>
    </row>
    <row r="21" customFormat="false" ht="13.8" hidden="false" customHeight="false" outlineLevel="0" collapsed="false">
      <c r="A21" s="50" t="n">
        <f aca="false">_xlfn.XLOOKUP(B21, ノード!B:B, ノード!A:A, "")</f>
        <v>4</v>
      </c>
      <c r="B21" s="50" t="s">
        <v>121</v>
      </c>
      <c r="C21" s="50" t="n">
        <v>3</v>
      </c>
      <c r="D21" s="50" t="n">
        <v>3000</v>
      </c>
      <c r="E21" s="50" t="s">
        <v>105</v>
      </c>
      <c r="F21" s="50" t="n">
        <v>5</v>
      </c>
      <c r="G21" s="50" t="s">
        <v>106</v>
      </c>
      <c r="H21" s="50" t="n">
        <v>5</v>
      </c>
      <c r="I21" s="50" t="s">
        <v>107</v>
      </c>
      <c r="J21" s="50" t="n">
        <v>4</v>
      </c>
      <c r="K21" s="50"/>
      <c r="L21" s="50"/>
      <c r="M21" s="50" t="s">
        <v>108</v>
      </c>
      <c r="N21" s="50" t="n">
        <v>8</v>
      </c>
      <c r="O21" s="63" t="str">
        <f aca="false">"[" &amp; _xlfn.TEXTJOIN(",", 1,   IFERROR(INDEX(素材!A:A, MATCH(E21, 素材!B:B, 0)), ""),   IFERROR(INDEX(素材!A:A, MATCH(G21, 素材!B:B, 0)), ""),   IFERROR(INDEX(素材!A:A, MATCH(I21, 素材!B:B, 0)), ""),   IFERROR(INDEX(素材!A:A, MATCH(K21, 素材!B:B, 0)), "") ) &amp; "]"</f>
        <v>[2,3,4]</v>
      </c>
      <c r="P21" s="63" t="str">
        <f aca="false">"[" &amp; _xlfn.TEXTJOIN(",", 1,   IF(ISNUMBER(MATCH(E21, 素材!B:B, 0)), F21, ""),   IF(ISNUMBER(MATCH(G21, 素材!B:B, 0)), H21, ""),   IF(ISNUMBER(MATCH(I21, 素材!B:B, 0)), J21, ""),   IF(ISNUMBER(MATCH(K21, 素材!B:B, 0)), L21, "") ) &amp; "]"</f>
        <v>[5,5,4]</v>
      </c>
      <c r="Q21" s="63" t="str">
        <f aca="false">"[" &amp; _xlfn.TEXTJOIN(",", 1,   IFERROR(INDEX(素材!A:A, MATCH(M21, 素材!B:B, 0)), "") ) &amp; "]"</f>
        <v>[5]</v>
      </c>
      <c r="R21" s="64" t="str">
        <f aca="false">"[" &amp; _xlfn.TEXTJOIN(",", 1, IF(ISNUMBER(MATCH(M21, 素材!B:B, 0)), N21, "") ) &amp; "]"</f>
        <v>[8]</v>
      </c>
      <c r="S21" s="45" t="n">
        <f aca="false">IFERROR(N21/(F21+H21+J21+L21),"-")</f>
        <v>0.571428571428571</v>
      </c>
    </row>
    <row r="22" customFormat="false" ht="13.8" hidden="false" customHeight="false" outlineLevel="0" collapsed="false">
      <c r="A22" s="50" t="n">
        <f aca="false">_xlfn.XLOOKUP(B22, ノード!B:B, ノード!A:A, "")</f>
        <v>4</v>
      </c>
      <c r="B22" s="50" t="s">
        <v>121</v>
      </c>
      <c r="C22" s="50" t="n">
        <v>4</v>
      </c>
      <c r="D22" s="50" t="n">
        <v>4000</v>
      </c>
      <c r="E22" s="50" t="s">
        <v>105</v>
      </c>
      <c r="F22" s="50" t="n">
        <v>8</v>
      </c>
      <c r="G22" s="50" t="s">
        <v>106</v>
      </c>
      <c r="H22" s="50" t="n">
        <v>8</v>
      </c>
      <c r="I22" s="50" t="s">
        <v>107</v>
      </c>
      <c r="J22" s="50" t="n">
        <v>7</v>
      </c>
      <c r="K22" s="50" t="s">
        <v>110</v>
      </c>
      <c r="L22" s="50" t="n">
        <v>4</v>
      </c>
      <c r="M22" s="50" t="s">
        <v>108</v>
      </c>
      <c r="N22" s="50" t="n">
        <v>11</v>
      </c>
      <c r="O22" s="63" t="str">
        <f aca="false">"[" &amp; _xlfn.TEXTJOIN(",", 1,   IFERROR(INDEX(素材!A:A, MATCH(E22, 素材!B:B, 0)), ""),   IFERROR(INDEX(素材!A:A, MATCH(G22, 素材!B:B, 0)), ""),   IFERROR(INDEX(素材!A:A, MATCH(I22, 素材!B:B, 0)), ""),   IFERROR(INDEX(素材!A:A, MATCH(K22, 素材!B:B, 0)), "") ) &amp; "]"</f>
        <v>[2,3,4,7]</v>
      </c>
      <c r="P22" s="63" t="str">
        <f aca="false">"[" &amp; _xlfn.TEXTJOIN(",", 1,   IF(ISNUMBER(MATCH(E22, 素材!B:B, 0)), F22, ""),   IF(ISNUMBER(MATCH(G22, 素材!B:B, 0)), H22, ""),   IF(ISNUMBER(MATCH(I22, 素材!B:B, 0)), J22, ""),   IF(ISNUMBER(MATCH(K22, 素材!B:B, 0)), L22, "") ) &amp; "]"</f>
        <v>[8,8,7,4]</v>
      </c>
      <c r="Q22" s="63" t="str">
        <f aca="false">"[" &amp; _xlfn.TEXTJOIN(",", 1,   IFERROR(INDEX(素材!A:A, MATCH(M22, 素材!B:B, 0)), "") ) &amp; "]"</f>
        <v>[5]</v>
      </c>
      <c r="R22" s="64" t="str">
        <f aca="false">"[" &amp; _xlfn.TEXTJOIN(",", 1, IF(ISNUMBER(MATCH(M22, 素材!B:B, 0)), N22, "") ) &amp; "]"</f>
        <v>[11]</v>
      </c>
      <c r="S22" s="45" t="n">
        <f aca="false">IFERROR(N22/(F22+H22+J22+L22),"-")</f>
        <v>0.407407407407407</v>
      </c>
    </row>
    <row r="23" customFormat="false" ht="13.8" hidden="false" customHeight="false" outlineLevel="0" collapsed="false">
      <c r="A23" s="50" t="n">
        <f aca="false">_xlfn.XLOOKUP(B23, ノード!B:B, ノード!A:A, "")</f>
        <v>4</v>
      </c>
      <c r="B23" s="50" t="s">
        <v>121</v>
      </c>
      <c r="C23" s="50" t="n">
        <v>5</v>
      </c>
      <c r="D23" s="50" t="n">
        <v>5000</v>
      </c>
      <c r="E23" s="50" t="s">
        <v>105</v>
      </c>
      <c r="F23" s="50" t="n">
        <v>13</v>
      </c>
      <c r="G23" s="50" t="s">
        <v>106</v>
      </c>
      <c r="H23" s="50" t="n">
        <v>13</v>
      </c>
      <c r="I23" s="50" t="s">
        <v>107</v>
      </c>
      <c r="J23" s="50" t="n">
        <v>13</v>
      </c>
      <c r="K23" s="50" t="s">
        <v>110</v>
      </c>
      <c r="L23" s="50" t="n">
        <v>8</v>
      </c>
      <c r="M23" s="50" t="s">
        <v>108</v>
      </c>
      <c r="N23" s="50" t="n">
        <v>16</v>
      </c>
      <c r="O23" s="63" t="str">
        <f aca="false">"[" &amp; _xlfn.TEXTJOIN(",", 1,   IFERROR(INDEX(素材!A:A, MATCH(E23, 素材!B:B, 0)), ""),   IFERROR(INDEX(素材!A:A, MATCH(G23, 素材!B:B, 0)), ""),   IFERROR(INDEX(素材!A:A, MATCH(I23, 素材!B:B, 0)), ""),   IFERROR(INDEX(素材!A:A, MATCH(K23, 素材!B:B, 0)), "") ) &amp; "]"</f>
        <v>[2,3,4,7]</v>
      </c>
      <c r="P23" s="63" t="str">
        <f aca="false">"[" &amp; _xlfn.TEXTJOIN(",", 1,   IF(ISNUMBER(MATCH(E23, 素材!B:B, 0)), F23, ""),   IF(ISNUMBER(MATCH(G23, 素材!B:B, 0)), H23, ""),   IF(ISNUMBER(MATCH(I23, 素材!B:B, 0)), J23, ""),   IF(ISNUMBER(MATCH(K23, 素材!B:B, 0)), L23, "") ) &amp; "]"</f>
        <v>[13,13,13,8]</v>
      </c>
      <c r="Q23" s="63" t="str">
        <f aca="false">"[" &amp; _xlfn.TEXTJOIN(",", 1,   IFERROR(INDEX(素材!A:A, MATCH(M23, 素材!B:B, 0)), "") ) &amp; "]"</f>
        <v>[5]</v>
      </c>
      <c r="R23" s="64" t="str">
        <f aca="false">"[" &amp; _xlfn.TEXTJOIN(",", 1, IF(ISNUMBER(MATCH(M23, 素材!B:B, 0)), N23, "") ) &amp; "]"</f>
        <v>[16]</v>
      </c>
      <c r="S23" s="45" t="n">
        <f aca="false">IFERROR(N23/(F23+H23+J23+L23),"-")</f>
        <v>0.340425531914894</v>
      </c>
    </row>
    <row r="24" customFormat="false" ht="13.8" hidden="false" customHeight="false" outlineLevel="0" collapsed="false">
      <c r="A24" s="50" t="n">
        <f aca="false">_xlfn.XLOOKUP(B24, ノード!B:B, ノード!A:A, "")</f>
        <v>4</v>
      </c>
      <c r="B24" s="50" t="s">
        <v>121</v>
      </c>
      <c r="C24" s="50" t="n">
        <v>6</v>
      </c>
      <c r="D24" s="50" t="n">
        <v>6000</v>
      </c>
      <c r="E24" s="50" t="s">
        <v>105</v>
      </c>
      <c r="F24" s="50" t="n">
        <v>20</v>
      </c>
      <c r="G24" s="50" t="s">
        <v>106</v>
      </c>
      <c r="H24" s="50" t="n">
        <v>20</v>
      </c>
      <c r="I24" s="50" t="s">
        <v>107</v>
      </c>
      <c r="J24" s="50" t="n">
        <v>20</v>
      </c>
      <c r="K24" s="50" t="s">
        <v>110</v>
      </c>
      <c r="L24" s="50" t="n">
        <v>12</v>
      </c>
      <c r="M24" s="50" t="s">
        <v>108</v>
      </c>
      <c r="N24" s="50" t="n">
        <v>24</v>
      </c>
      <c r="O24" s="63" t="str">
        <f aca="false">"[" &amp; _xlfn.TEXTJOIN(",", 1,   IFERROR(INDEX(素材!A:A, MATCH(E24, 素材!B:B, 0)), ""),   IFERROR(INDEX(素材!A:A, MATCH(G24, 素材!B:B, 0)), ""),   IFERROR(INDEX(素材!A:A, MATCH(I24, 素材!B:B, 0)), ""),   IFERROR(INDEX(素材!A:A, MATCH(K24, 素材!B:B, 0)), "") ) &amp; "]"</f>
        <v>[2,3,4,7]</v>
      </c>
      <c r="P24" s="63" t="str">
        <f aca="false">"[" &amp; _xlfn.TEXTJOIN(",", 1,   IF(ISNUMBER(MATCH(E24, 素材!B:B, 0)), F24, ""),   IF(ISNUMBER(MATCH(G24, 素材!B:B, 0)), H24, ""),   IF(ISNUMBER(MATCH(I24, 素材!B:B, 0)), J24, ""),   IF(ISNUMBER(MATCH(K24, 素材!B:B, 0)), L24, "") ) &amp; "]"</f>
        <v>[20,20,20,12]</v>
      </c>
      <c r="Q24" s="63" t="str">
        <f aca="false">"[" &amp; _xlfn.TEXTJOIN(",", 1,   IFERROR(INDEX(素材!A:A, MATCH(M24, 素材!B:B, 0)), "") ) &amp; "]"</f>
        <v>[5]</v>
      </c>
      <c r="R24" s="64" t="str">
        <f aca="false">"[" &amp; _xlfn.TEXTJOIN(",", 1, IF(ISNUMBER(MATCH(M24, 素材!B:B, 0)), N24, "") ) &amp; "]"</f>
        <v>[24]</v>
      </c>
      <c r="S24" s="45" t="n">
        <f aca="false">IFERROR(N24/(F24+H24+J24+L24),"-")</f>
        <v>0.333333333333333</v>
      </c>
    </row>
    <row r="25" customFormat="false" ht="13.8" hidden="false" customHeight="false" outlineLevel="0" collapsed="false">
      <c r="A25" s="50" t="n">
        <f aca="false">_xlfn.XLOOKUP(B25, ノード!B:B, ノード!A:A, "")</f>
        <v>4</v>
      </c>
      <c r="B25" s="50" t="s">
        <v>121</v>
      </c>
      <c r="C25" s="50" t="n">
        <v>7</v>
      </c>
      <c r="D25" s="50" t="n">
        <v>7000</v>
      </c>
      <c r="E25" s="50" t="s">
        <v>105</v>
      </c>
      <c r="F25" s="50" t="n">
        <v>29</v>
      </c>
      <c r="G25" s="50" t="s">
        <v>106</v>
      </c>
      <c r="H25" s="50" t="n">
        <v>29</v>
      </c>
      <c r="I25" s="50" t="s">
        <v>107</v>
      </c>
      <c r="J25" s="50" t="n">
        <v>40</v>
      </c>
      <c r="K25" s="50" t="s">
        <v>110</v>
      </c>
      <c r="L25" s="50" t="n">
        <v>17</v>
      </c>
      <c r="M25" s="50" t="s">
        <v>108</v>
      </c>
      <c r="N25" s="50" t="n">
        <v>34</v>
      </c>
      <c r="O25" s="63" t="str">
        <f aca="false">"[" &amp; _xlfn.TEXTJOIN(",", 1,   IFERROR(INDEX(素材!A:A, MATCH(E25, 素材!B:B, 0)), ""),   IFERROR(INDEX(素材!A:A, MATCH(G25, 素材!B:B, 0)), ""),   IFERROR(INDEX(素材!A:A, MATCH(I25, 素材!B:B, 0)), ""),   IFERROR(INDEX(素材!A:A, MATCH(K25, 素材!B:B, 0)), "") ) &amp; "]"</f>
        <v>[2,3,4,7]</v>
      </c>
      <c r="P25" s="63" t="str">
        <f aca="false">"[" &amp; _xlfn.TEXTJOIN(",", 1,   IF(ISNUMBER(MATCH(E25, 素材!B:B, 0)), F25, ""),   IF(ISNUMBER(MATCH(G25, 素材!B:B, 0)), H25, ""),   IF(ISNUMBER(MATCH(I25, 素材!B:B, 0)), J25, ""),   IF(ISNUMBER(MATCH(K25, 素材!B:B, 0)), L25, "") ) &amp; "]"</f>
        <v>[29,29,40,17]</v>
      </c>
      <c r="Q25" s="63" t="str">
        <f aca="false">"[" &amp; _xlfn.TEXTJOIN(",", 1,   IFERROR(INDEX(素材!A:A, MATCH(M25, 素材!B:B, 0)), "") ) &amp; "]"</f>
        <v>[5]</v>
      </c>
      <c r="R25" s="64" t="str">
        <f aca="false">"[" &amp; _xlfn.TEXTJOIN(",", 1, IF(ISNUMBER(MATCH(M25, 素材!B:B, 0)), N25, "") ) &amp; "]"</f>
        <v>[34]</v>
      </c>
      <c r="S25" s="45" t="n">
        <f aca="false">IFERROR(N25/(F25+H25+J25+L25),"-")</f>
        <v>0.295652173913044</v>
      </c>
    </row>
    <row r="26" customFormat="false" ht="13.8" hidden="false" customHeight="false" outlineLevel="0" collapsed="false">
      <c r="A26" s="50" t="n">
        <f aca="false">_xlfn.XLOOKUP(B26, ノード!B:B, ノード!A:A, "")</f>
        <v>4</v>
      </c>
      <c r="B26" s="50" t="s">
        <v>121</v>
      </c>
      <c r="C26" s="50" t="n">
        <v>8</v>
      </c>
      <c r="D26" s="50" t="n">
        <v>8000</v>
      </c>
      <c r="E26" s="50" t="s">
        <v>105</v>
      </c>
      <c r="F26" s="50" t="n">
        <v>40</v>
      </c>
      <c r="G26" s="50" t="s">
        <v>106</v>
      </c>
      <c r="H26" s="50" t="n">
        <v>40</v>
      </c>
      <c r="I26" s="50" t="s">
        <v>107</v>
      </c>
      <c r="J26" s="50" t="n">
        <v>60</v>
      </c>
      <c r="K26" s="50" t="s">
        <v>110</v>
      </c>
      <c r="L26" s="50" t="n">
        <v>23</v>
      </c>
      <c r="M26" s="50" t="s">
        <v>108</v>
      </c>
      <c r="N26" s="50" t="n">
        <v>46</v>
      </c>
      <c r="O26" s="63" t="str">
        <f aca="false">"[" &amp; _xlfn.TEXTJOIN(",", 1,   IFERROR(INDEX(素材!A:A, MATCH(E26, 素材!B:B, 0)), ""),   IFERROR(INDEX(素材!A:A, MATCH(G26, 素材!B:B, 0)), ""),   IFERROR(INDEX(素材!A:A, MATCH(I26, 素材!B:B, 0)), ""),   IFERROR(INDEX(素材!A:A, MATCH(K26, 素材!B:B, 0)), "") ) &amp; "]"</f>
        <v>[2,3,4,7]</v>
      </c>
      <c r="P26" s="63" t="str">
        <f aca="false">"[" &amp; _xlfn.TEXTJOIN(",", 1,   IF(ISNUMBER(MATCH(E26, 素材!B:B, 0)), F26, ""),   IF(ISNUMBER(MATCH(G26, 素材!B:B, 0)), H26, ""),   IF(ISNUMBER(MATCH(I26, 素材!B:B, 0)), J26, ""),   IF(ISNUMBER(MATCH(K26, 素材!B:B, 0)), L26, "") ) &amp; "]"</f>
        <v>[40,40,60,23]</v>
      </c>
      <c r="Q26" s="63" t="str">
        <f aca="false">"[" &amp; _xlfn.TEXTJOIN(",", 1,   IFERROR(INDEX(素材!A:A, MATCH(M26, 素材!B:B, 0)), "") ) &amp; "]"</f>
        <v>[5]</v>
      </c>
      <c r="R26" s="64" t="str">
        <f aca="false">"[" &amp; _xlfn.TEXTJOIN(",", 1, IF(ISNUMBER(MATCH(M26, 素材!B:B, 0)), N26, "") ) &amp; "]"</f>
        <v>[46]</v>
      </c>
      <c r="S26" s="45" t="n">
        <f aca="false">IFERROR(N26/(F26+H26+J26+L26),"-")</f>
        <v>0.282208588957055</v>
      </c>
    </row>
    <row r="27" customFormat="false" ht="13.8" hidden="false" customHeight="false" outlineLevel="0" collapsed="false">
      <c r="A27" s="50" t="n">
        <f aca="false">_xlfn.XLOOKUP(B27, ノード!B:B, ノード!A:A, "")</f>
        <v>4</v>
      </c>
      <c r="B27" s="50" t="s">
        <v>121</v>
      </c>
      <c r="C27" s="50" t="n">
        <v>9</v>
      </c>
      <c r="D27" s="50" t="n">
        <v>9000</v>
      </c>
      <c r="E27" s="50" t="s">
        <v>105</v>
      </c>
      <c r="F27" s="50" t="n">
        <v>53</v>
      </c>
      <c r="G27" s="50" t="s">
        <v>106</v>
      </c>
      <c r="H27" s="50" t="n">
        <v>53</v>
      </c>
      <c r="I27" s="50" t="s">
        <v>107</v>
      </c>
      <c r="J27" s="50" t="n">
        <v>80</v>
      </c>
      <c r="K27" s="50" t="s">
        <v>110</v>
      </c>
      <c r="L27" s="50" t="n">
        <v>30</v>
      </c>
      <c r="M27" s="50" t="s">
        <v>108</v>
      </c>
      <c r="N27" s="50" t="n">
        <v>60</v>
      </c>
      <c r="O27" s="63" t="str">
        <f aca="false">"[" &amp; _xlfn.TEXTJOIN(",", 1,   IFERROR(INDEX(素材!A:A, MATCH(E27, 素材!B:B, 0)), ""),   IFERROR(INDEX(素材!A:A, MATCH(G27, 素材!B:B, 0)), ""),   IFERROR(INDEX(素材!A:A, MATCH(I27, 素材!B:B, 0)), ""),   IFERROR(INDEX(素材!A:A, MATCH(K27, 素材!B:B, 0)), "") ) &amp; "]"</f>
        <v>[2,3,4,7]</v>
      </c>
      <c r="P27" s="63" t="str">
        <f aca="false">"[" &amp; _xlfn.TEXTJOIN(",", 1,   IF(ISNUMBER(MATCH(E27, 素材!B:B, 0)), F27, ""),   IF(ISNUMBER(MATCH(G27, 素材!B:B, 0)), H27, ""),   IF(ISNUMBER(MATCH(I27, 素材!B:B, 0)), J27, ""),   IF(ISNUMBER(MATCH(K27, 素材!B:B, 0)), L27, "") ) &amp; "]"</f>
        <v>[53,53,80,30]</v>
      </c>
      <c r="Q27" s="63" t="str">
        <f aca="false">"[" &amp; _xlfn.TEXTJOIN(",", 1,   IFERROR(INDEX(素材!A:A, MATCH(M27, 素材!B:B, 0)), "") ) &amp; "]"</f>
        <v>[5]</v>
      </c>
      <c r="R27" s="64" t="str">
        <f aca="false">"[" &amp; _xlfn.TEXTJOIN(",", 1, IF(ISNUMBER(MATCH(M27, 素材!B:B, 0)), N27, "") ) &amp; "]"</f>
        <v>[60]</v>
      </c>
      <c r="S27" s="45" t="n">
        <f aca="false">IFERROR(N27/(F27+H27+J27+L27),"-")</f>
        <v>0.277777777777778</v>
      </c>
    </row>
    <row r="28" customFormat="false" ht="13.8" hidden="false" customHeight="false" outlineLevel="0" collapsed="false">
      <c r="A28" s="50" t="n">
        <f aca="false">_xlfn.XLOOKUP(B28, ノード!B:B, ノード!A:A, "")</f>
        <v>4</v>
      </c>
      <c r="B28" s="50" t="s">
        <v>121</v>
      </c>
      <c r="C28" s="50" t="n">
        <v>10</v>
      </c>
      <c r="D28" s="50" t="n">
        <v>10000</v>
      </c>
      <c r="E28" s="50" t="s">
        <v>105</v>
      </c>
      <c r="F28" s="50" t="n">
        <v>70</v>
      </c>
      <c r="G28" s="50" t="s">
        <v>106</v>
      </c>
      <c r="H28" s="50" t="n">
        <v>70</v>
      </c>
      <c r="I28" s="50" t="s">
        <v>107</v>
      </c>
      <c r="J28" s="50" t="n">
        <v>100</v>
      </c>
      <c r="K28" s="50" t="s">
        <v>110</v>
      </c>
      <c r="L28" s="50" t="n">
        <v>40</v>
      </c>
      <c r="M28" s="50" t="s">
        <v>108</v>
      </c>
      <c r="N28" s="50" t="n">
        <v>76</v>
      </c>
      <c r="O28" s="63" t="str">
        <f aca="false">"[" &amp; _xlfn.TEXTJOIN(",", 1,   IFERROR(INDEX(素材!A:A, MATCH(E28, 素材!B:B, 0)), ""),   IFERROR(INDEX(素材!A:A, MATCH(G28, 素材!B:B, 0)), ""),   IFERROR(INDEX(素材!A:A, MATCH(I28, 素材!B:B, 0)), ""),   IFERROR(INDEX(素材!A:A, MATCH(K28, 素材!B:B, 0)), "") ) &amp; "]"</f>
        <v>[2,3,4,7]</v>
      </c>
      <c r="P28" s="63" t="str">
        <f aca="false">"[" &amp; _xlfn.TEXTJOIN(",", 1,   IF(ISNUMBER(MATCH(E28, 素材!B:B, 0)), F28, ""),   IF(ISNUMBER(MATCH(G28, 素材!B:B, 0)), H28, ""),   IF(ISNUMBER(MATCH(I28, 素材!B:B, 0)), J28, ""),   IF(ISNUMBER(MATCH(K28, 素材!B:B, 0)), L28, "") ) &amp; "]"</f>
        <v>[70,70,100,40]</v>
      </c>
      <c r="Q28" s="63" t="str">
        <f aca="false">"[" &amp; _xlfn.TEXTJOIN(",", 1,   IFERROR(INDEX(素材!A:A, MATCH(M28, 素材!B:B, 0)), "") ) &amp; "]"</f>
        <v>[5]</v>
      </c>
      <c r="R28" s="64" t="str">
        <f aca="false">"[" &amp; _xlfn.TEXTJOIN(",", 1, IF(ISNUMBER(MATCH(M28, 素材!B:B, 0)), N28, "") ) &amp; "]"</f>
        <v>[76]</v>
      </c>
      <c r="S28" s="45" t="n">
        <f aca="false">IFERROR(N28/(F28+H28+J28+L28),"-")</f>
        <v>0.271428571428571</v>
      </c>
    </row>
    <row r="29" customFormat="false" ht="13.8" hidden="false" customHeight="false" outlineLevel="0" collapsed="false">
      <c r="A29" s="50" t="n">
        <f aca="false">_xlfn.XLOOKUP(B29, ノード!B:B, ノード!A:A, "")</f>
        <v>5</v>
      </c>
      <c r="B29" s="50" t="s">
        <v>122</v>
      </c>
      <c r="C29" s="50" t="n">
        <v>1</v>
      </c>
      <c r="D29" s="50" t="n">
        <v>0</v>
      </c>
      <c r="E29" s="50" t="s">
        <v>103</v>
      </c>
      <c r="F29" s="50" t="n">
        <v>0</v>
      </c>
      <c r="G29" s="50"/>
      <c r="H29" s="50"/>
      <c r="I29" s="50"/>
      <c r="J29" s="50"/>
      <c r="K29" s="50"/>
      <c r="L29" s="50"/>
      <c r="M29" s="50" t="s">
        <v>103</v>
      </c>
      <c r="N29" s="50" t="n">
        <v>0</v>
      </c>
      <c r="O29" s="63" t="str">
        <f aca="false">"[" &amp; _xlfn.TEXTJOIN(",", 1,   IFERROR(INDEX(素材!A:A, MATCH(E29, 素材!B:B, 0)), ""),   IFERROR(INDEX(素材!A:A, MATCH(G29, 素材!B:B, 0)), ""),   IFERROR(INDEX(素材!A:A, MATCH(I29, 素材!B:B, 0)), ""),   IFERROR(INDEX(素材!A:A, MATCH(K29, 素材!B:B, 0)), "") ) &amp; "]"</f>
        <v>[0]</v>
      </c>
      <c r="P29" s="63" t="str">
        <f aca="false">"[" &amp; _xlfn.TEXTJOIN(",", 1,   IF(ISNUMBER(MATCH(E29, 素材!B:B, 0)), F29, ""),   IF(ISNUMBER(MATCH(G29, 素材!B:B, 0)), H29, ""),   IF(ISNUMBER(MATCH(I29, 素材!B:B, 0)), J29, ""),   IF(ISNUMBER(MATCH(K29, 素材!B:B, 0)), L29, "") ) &amp; "]"</f>
        <v>[0]</v>
      </c>
      <c r="Q29" s="63" t="str">
        <f aca="false">"[" &amp; _xlfn.TEXTJOIN(",", 1,   IFERROR(INDEX(素材!A:A, MATCH(M29, 素材!B:B, 0)), "") ) &amp; "]"</f>
        <v>[0]</v>
      </c>
      <c r="R29" s="64" t="str">
        <f aca="false">"[" &amp; _xlfn.TEXTJOIN(",", 1, IF(ISNUMBER(MATCH(M29, 素材!B:B, 0)), N29, "") ) &amp; "]"</f>
        <v>[0]</v>
      </c>
      <c r="S29" s="45" t="str">
        <f aca="false">IFERROR(N29/(F29+H29+J29+L29),"-")</f>
        <v>-</v>
      </c>
    </row>
    <row r="30" customFormat="false" ht="13.8" hidden="false" customHeight="false" outlineLevel="0" collapsed="false">
      <c r="A30" s="50" t="n">
        <f aca="false">_xlfn.XLOOKUP(B30, ノード!B:B, ノード!A:A, "")</f>
        <v>6</v>
      </c>
      <c r="B30" s="50" t="s">
        <v>123</v>
      </c>
      <c r="C30" s="50" t="n">
        <v>1</v>
      </c>
      <c r="D30" s="50" t="n">
        <v>1000</v>
      </c>
      <c r="E30" s="50" t="s">
        <v>106</v>
      </c>
      <c r="F30" s="50" t="n">
        <v>2</v>
      </c>
      <c r="G30" s="50" t="s">
        <v>108</v>
      </c>
      <c r="H30" s="50" t="n">
        <v>2</v>
      </c>
      <c r="I30" s="50"/>
      <c r="J30" s="50"/>
      <c r="K30" s="50"/>
      <c r="L30" s="50"/>
      <c r="M30" s="50" t="s">
        <v>109</v>
      </c>
      <c r="N30" s="50" t="n">
        <v>2</v>
      </c>
      <c r="O30" s="63" t="str">
        <f aca="false">"[" &amp; _xlfn.TEXTJOIN(",", 1,   IFERROR(INDEX(素材!A:A, MATCH(E30, 素材!B:B, 0)), ""),   IFERROR(INDEX(素材!A:A, MATCH(G30, 素材!B:B, 0)), ""),   IFERROR(INDEX(素材!A:A, MATCH(I30, 素材!B:B, 0)), ""),   IFERROR(INDEX(素材!A:A, MATCH(K30, 素材!B:B, 0)), "") ) &amp; "]"</f>
        <v>[3,5]</v>
      </c>
      <c r="P30" s="63" t="str">
        <f aca="false">"[" &amp; _xlfn.TEXTJOIN(",", 1,   IF(ISNUMBER(MATCH(E30, 素材!B:B, 0)), F30, ""),   IF(ISNUMBER(MATCH(G30, 素材!B:B, 0)), H30, ""),   IF(ISNUMBER(MATCH(I30, 素材!B:B, 0)), J30, ""),   IF(ISNUMBER(MATCH(K30, 素材!B:B, 0)), L30, "") ) &amp; "]"</f>
        <v>[2,2]</v>
      </c>
      <c r="Q30" s="63" t="str">
        <f aca="false">"[" &amp; _xlfn.TEXTJOIN(",", 1,   IFERROR(INDEX(素材!A:A, MATCH(M30, 素材!B:B, 0)), "") ) &amp; "]"</f>
        <v>[6]</v>
      </c>
      <c r="R30" s="64" t="str">
        <f aca="false">"[" &amp; _xlfn.TEXTJOIN(",", 1, IF(ISNUMBER(MATCH(M30, 素材!B:B, 0)), N30, "") ) &amp; "]"</f>
        <v>[2]</v>
      </c>
      <c r="S30" s="45" t="n">
        <f aca="false">IFERROR(N30/(F30+H30+J30+L30),"-")</f>
        <v>0.5</v>
      </c>
    </row>
    <row r="31" customFormat="false" ht="13.8" hidden="false" customHeight="false" outlineLevel="0" collapsed="false">
      <c r="A31" s="50" t="n">
        <f aca="false">_xlfn.XLOOKUP(B31, ノード!B:B, ノード!A:A, "")</f>
        <v>6</v>
      </c>
      <c r="B31" s="50" t="s">
        <v>123</v>
      </c>
      <c r="C31" s="50" t="n">
        <v>2</v>
      </c>
      <c r="D31" s="50" t="n">
        <v>2000</v>
      </c>
      <c r="E31" s="50" t="s">
        <v>106</v>
      </c>
      <c r="F31" s="50" t="n">
        <v>3</v>
      </c>
      <c r="G31" s="50" t="s">
        <v>108</v>
      </c>
      <c r="H31" s="50" t="n">
        <v>3</v>
      </c>
      <c r="I31" s="50"/>
      <c r="J31" s="50"/>
      <c r="K31" s="50"/>
      <c r="L31" s="50"/>
      <c r="M31" s="50" t="s">
        <v>109</v>
      </c>
      <c r="N31" s="50" t="n">
        <v>3</v>
      </c>
      <c r="O31" s="63" t="str">
        <f aca="false">"[" &amp; _xlfn.TEXTJOIN(",", 1,   IFERROR(INDEX(素材!A:A, MATCH(E31, 素材!B:B, 0)), ""),   IFERROR(INDEX(素材!A:A, MATCH(G31, 素材!B:B, 0)), ""),   IFERROR(INDEX(素材!A:A, MATCH(I31, 素材!B:B, 0)), ""),   IFERROR(INDEX(素材!A:A, MATCH(K31, 素材!B:B, 0)), "") ) &amp; "]"</f>
        <v>[3,5]</v>
      </c>
      <c r="P31" s="63" t="str">
        <f aca="false">"[" &amp; _xlfn.TEXTJOIN(",", 1,   IF(ISNUMBER(MATCH(E31, 素材!B:B, 0)), F31, ""),   IF(ISNUMBER(MATCH(G31, 素材!B:B, 0)), H31, ""),   IF(ISNUMBER(MATCH(I31, 素材!B:B, 0)), J31, ""),   IF(ISNUMBER(MATCH(K31, 素材!B:B, 0)), L31, "") ) &amp; "]"</f>
        <v>[3,3]</v>
      </c>
      <c r="Q31" s="63" t="str">
        <f aca="false">"[" &amp; _xlfn.TEXTJOIN(",", 1,   IFERROR(INDEX(素材!A:A, MATCH(M31, 素材!B:B, 0)), "") ) &amp; "]"</f>
        <v>[6]</v>
      </c>
      <c r="R31" s="64" t="str">
        <f aca="false">"[" &amp; _xlfn.TEXTJOIN(",", 1, IF(ISNUMBER(MATCH(M31, 素材!B:B, 0)), N31, "") ) &amp; "]"</f>
        <v>[3]</v>
      </c>
      <c r="S31" s="45" t="n">
        <f aca="false">IFERROR(N31/(F31+H31+J31+L31),"-")</f>
        <v>0.5</v>
      </c>
    </row>
    <row r="32" customFormat="false" ht="13.8" hidden="false" customHeight="false" outlineLevel="0" collapsed="false">
      <c r="A32" s="50" t="n">
        <f aca="false">_xlfn.XLOOKUP(B32, ノード!B:B, ノード!A:A, "")</f>
        <v>6</v>
      </c>
      <c r="B32" s="50" t="s">
        <v>123</v>
      </c>
      <c r="C32" s="50" t="n">
        <v>3</v>
      </c>
      <c r="D32" s="50" t="n">
        <v>3000</v>
      </c>
      <c r="E32" s="50" t="s">
        <v>106</v>
      </c>
      <c r="F32" s="50" t="n">
        <v>4</v>
      </c>
      <c r="G32" s="50" t="s">
        <v>108</v>
      </c>
      <c r="H32" s="50" t="n">
        <v>4</v>
      </c>
      <c r="I32" s="50"/>
      <c r="J32" s="50"/>
      <c r="K32" s="50"/>
      <c r="L32" s="50"/>
      <c r="M32" s="50" t="s">
        <v>109</v>
      </c>
      <c r="N32" s="50" t="n">
        <v>4</v>
      </c>
      <c r="O32" s="63" t="str">
        <f aca="false">"[" &amp; _xlfn.TEXTJOIN(",", 1,   IFERROR(INDEX(素材!A:A, MATCH(E32, 素材!B:B, 0)), ""),   IFERROR(INDEX(素材!A:A, MATCH(G32, 素材!B:B, 0)), ""),   IFERROR(INDEX(素材!A:A, MATCH(I32, 素材!B:B, 0)), ""),   IFERROR(INDEX(素材!A:A, MATCH(K32, 素材!B:B, 0)), "") ) &amp; "]"</f>
        <v>[3,5]</v>
      </c>
      <c r="P32" s="63" t="str">
        <f aca="false">"[" &amp; _xlfn.TEXTJOIN(",", 1,   IF(ISNUMBER(MATCH(E32, 素材!B:B, 0)), F32, ""),   IF(ISNUMBER(MATCH(G32, 素材!B:B, 0)), H32, ""),   IF(ISNUMBER(MATCH(I32, 素材!B:B, 0)), J32, ""),   IF(ISNUMBER(MATCH(K32, 素材!B:B, 0)), L32, "") ) &amp; "]"</f>
        <v>[4,4]</v>
      </c>
      <c r="Q32" s="63" t="str">
        <f aca="false">"[" &amp; _xlfn.TEXTJOIN(",", 1,   IFERROR(INDEX(素材!A:A, MATCH(M32, 素材!B:B, 0)), "") ) &amp; "]"</f>
        <v>[6]</v>
      </c>
      <c r="R32" s="64" t="str">
        <f aca="false">"[" &amp; _xlfn.TEXTJOIN(",", 1, IF(ISNUMBER(MATCH(M32, 素材!B:B, 0)), N32, "") ) &amp; "]"</f>
        <v>[4]</v>
      </c>
      <c r="S32" s="45" t="n">
        <f aca="false">IFERROR(N32/(F32+H32+J32+L32),"-")</f>
        <v>0.5</v>
      </c>
    </row>
    <row r="33" customFormat="false" ht="13.8" hidden="false" customHeight="false" outlineLevel="0" collapsed="false">
      <c r="A33" s="50" t="n">
        <f aca="false">_xlfn.XLOOKUP(B33, ノード!B:B, ノード!A:A, "")</f>
        <v>6</v>
      </c>
      <c r="B33" s="50" t="s">
        <v>123</v>
      </c>
      <c r="C33" s="50" t="n">
        <v>4</v>
      </c>
      <c r="D33" s="50" t="n">
        <v>4000</v>
      </c>
      <c r="E33" s="50" t="s">
        <v>106</v>
      </c>
      <c r="F33" s="50" t="n">
        <v>5</v>
      </c>
      <c r="G33" s="50" t="s">
        <v>108</v>
      </c>
      <c r="H33" s="50" t="n">
        <v>5</v>
      </c>
      <c r="I33" s="50"/>
      <c r="J33" s="50"/>
      <c r="K33" s="50"/>
      <c r="L33" s="50"/>
      <c r="M33" s="50" t="s">
        <v>109</v>
      </c>
      <c r="N33" s="50" t="n">
        <v>5</v>
      </c>
      <c r="O33" s="63" t="str">
        <f aca="false">"[" &amp; _xlfn.TEXTJOIN(",", 1,   IFERROR(INDEX(素材!A:A, MATCH(E33, 素材!B:B, 0)), ""),   IFERROR(INDEX(素材!A:A, MATCH(G33, 素材!B:B, 0)), ""),   IFERROR(INDEX(素材!A:A, MATCH(I33, 素材!B:B, 0)), ""),   IFERROR(INDEX(素材!A:A, MATCH(K33, 素材!B:B, 0)), "") ) &amp; "]"</f>
        <v>[3,5]</v>
      </c>
      <c r="P33" s="63" t="str">
        <f aca="false">"[" &amp; _xlfn.TEXTJOIN(",", 1,   IF(ISNUMBER(MATCH(E33, 素材!B:B, 0)), F33, ""),   IF(ISNUMBER(MATCH(G33, 素材!B:B, 0)), H33, ""),   IF(ISNUMBER(MATCH(I33, 素材!B:B, 0)), J33, ""),   IF(ISNUMBER(MATCH(K33, 素材!B:B, 0)), L33, "") ) &amp; "]"</f>
        <v>[5,5]</v>
      </c>
      <c r="Q33" s="63" t="str">
        <f aca="false">"[" &amp; _xlfn.TEXTJOIN(",", 1,   IFERROR(INDEX(素材!A:A, MATCH(M33, 素材!B:B, 0)), "") ) &amp; "]"</f>
        <v>[6]</v>
      </c>
      <c r="R33" s="64" t="str">
        <f aca="false">"[" &amp; _xlfn.TEXTJOIN(",", 1, IF(ISNUMBER(MATCH(M33, 素材!B:B, 0)), N33, "") ) &amp; "]"</f>
        <v>[5]</v>
      </c>
      <c r="S33" s="45" t="n">
        <f aca="false">IFERROR(N33/(F33+H33+J33+L33),"-")</f>
        <v>0.5</v>
      </c>
    </row>
    <row r="34" customFormat="false" ht="13.8" hidden="false" customHeight="false" outlineLevel="0" collapsed="false">
      <c r="A34" s="50" t="n">
        <f aca="false">_xlfn.XLOOKUP(B34, ノード!B:B, ノード!A:A, "")</f>
        <v>6</v>
      </c>
      <c r="B34" s="50" t="s">
        <v>123</v>
      </c>
      <c r="C34" s="50" t="n">
        <v>5</v>
      </c>
      <c r="D34" s="50" t="n">
        <v>5000</v>
      </c>
      <c r="E34" s="50" t="s">
        <v>106</v>
      </c>
      <c r="F34" s="50" t="n">
        <v>6</v>
      </c>
      <c r="G34" s="50" t="s">
        <v>108</v>
      </c>
      <c r="H34" s="50" t="n">
        <v>6</v>
      </c>
      <c r="I34" s="50" t="s">
        <v>110</v>
      </c>
      <c r="J34" s="50" t="n">
        <v>2</v>
      </c>
      <c r="K34" s="50"/>
      <c r="L34" s="50"/>
      <c r="M34" s="50" t="s">
        <v>109</v>
      </c>
      <c r="N34" s="50" t="n">
        <v>6</v>
      </c>
      <c r="O34" s="63" t="str">
        <f aca="false">"[" &amp; _xlfn.TEXTJOIN(",", 1,   IFERROR(INDEX(素材!A:A, MATCH(E34, 素材!B:B, 0)), ""),   IFERROR(INDEX(素材!A:A, MATCH(G34, 素材!B:B, 0)), ""),   IFERROR(INDEX(素材!A:A, MATCH(I34, 素材!B:B, 0)), ""),   IFERROR(INDEX(素材!A:A, MATCH(K34, 素材!B:B, 0)), "") ) &amp; "]"</f>
        <v>[3,5,7]</v>
      </c>
      <c r="P34" s="63" t="str">
        <f aca="false">"[" &amp; _xlfn.TEXTJOIN(",", 1,   IF(ISNUMBER(MATCH(E34, 素材!B:B, 0)), F34, ""),   IF(ISNUMBER(MATCH(G34, 素材!B:B, 0)), H34, ""),   IF(ISNUMBER(MATCH(I34, 素材!B:B, 0)), J34, ""),   IF(ISNUMBER(MATCH(K34, 素材!B:B, 0)), L34, "") ) &amp; "]"</f>
        <v>[6,6,2]</v>
      </c>
      <c r="Q34" s="63" t="str">
        <f aca="false">"[" &amp; _xlfn.TEXTJOIN(",", 1,   IFERROR(INDEX(素材!A:A, MATCH(M34, 素材!B:B, 0)), "") ) &amp; "]"</f>
        <v>[6]</v>
      </c>
      <c r="R34" s="64" t="str">
        <f aca="false">"[" &amp; _xlfn.TEXTJOIN(",", 1, IF(ISNUMBER(MATCH(M34, 素材!B:B, 0)), N34, "") ) &amp; "]"</f>
        <v>[6]</v>
      </c>
      <c r="S34" s="45" t="n">
        <f aca="false">IFERROR(N34/(F34+H34+J34+L34),"-")</f>
        <v>0.428571428571429</v>
      </c>
    </row>
    <row r="35" customFormat="false" ht="13.8" hidden="false" customHeight="false" outlineLevel="0" collapsed="false">
      <c r="A35" s="50" t="n">
        <f aca="false">_xlfn.XLOOKUP(B35, ノード!B:B, ノード!A:A, "")</f>
        <v>6</v>
      </c>
      <c r="B35" s="50" t="s">
        <v>123</v>
      </c>
      <c r="C35" s="50" t="n">
        <v>6</v>
      </c>
      <c r="D35" s="50" t="n">
        <v>6000</v>
      </c>
      <c r="E35" s="50" t="s">
        <v>106</v>
      </c>
      <c r="F35" s="50" t="n">
        <v>7</v>
      </c>
      <c r="G35" s="50" t="s">
        <v>108</v>
      </c>
      <c r="H35" s="50" t="n">
        <v>7</v>
      </c>
      <c r="I35" s="50" t="s">
        <v>110</v>
      </c>
      <c r="J35" s="50" t="n">
        <v>4</v>
      </c>
      <c r="K35" s="50"/>
      <c r="L35" s="50"/>
      <c r="M35" s="50" t="s">
        <v>109</v>
      </c>
      <c r="N35" s="50" t="n">
        <v>7</v>
      </c>
      <c r="O35" s="63" t="str">
        <f aca="false">"[" &amp; _xlfn.TEXTJOIN(",", 1,   IFERROR(INDEX(素材!A:A, MATCH(E35, 素材!B:B, 0)), ""),   IFERROR(INDEX(素材!A:A, MATCH(G35, 素材!B:B, 0)), ""),   IFERROR(INDEX(素材!A:A, MATCH(I35, 素材!B:B, 0)), ""),   IFERROR(INDEX(素材!A:A, MATCH(K35, 素材!B:B, 0)), "") ) &amp; "]"</f>
        <v>[3,5,7]</v>
      </c>
      <c r="P35" s="63" t="str">
        <f aca="false">"[" &amp; _xlfn.TEXTJOIN(",", 1,   IF(ISNUMBER(MATCH(E35, 素材!B:B, 0)), F35, ""),   IF(ISNUMBER(MATCH(G35, 素材!B:B, 0)), H35, ""),   IF(ISNUMBER(MATCH(I35, 素材!B:B, 0)), J35, ""),   IF(ISNUMBER(MATCH(K35, 素材!B:B, 0)), L35, "") ) &amp; "]"</f>
        <v>[7,7,4]</v>
      </c>
      <c r="Q35" s="63" t="str">
        <f aca="false">"[" &amp; _xlfn.TEXTJOIN(",", 1,   IFERROR(INDEX(素材!A:A, MATCH(M35, 素材!B:B, 0)), "") ) &amp; "]"</f>
        <v>[6]</v>
      </c>
      <c r="R35" s="64" t="str">
        <f aca="false">"[" &amp; _xlfn.TEXTJOIN(",", 1, IF(ISNUMBER(MATCH(M35, 素材!B:B, 0)), N35, "") ) &amp; "]"</f>
        <v>[7]</v>
      </c>
      <c r="S35" s="45" t="n">
        <f aca="false">IFERROR(N35/(F35+H35+J35+L35),"-")</f>
        <v>0.388888888888889</v>
      </c>
    </row>
    <row r="36" customFormat="false" ht="13.8" hidden="false" customHeight="false" outlineLevel="0" collapsed="false">
      <c r="A36" s="50" t="n">
        <f aca="false">_xlfn.XLOOKUP(B36, ノード!B:B, ノード!A:A, "")</f>
        <v>6</v>
      </c>
      <c r="B36" s="50" t="s">
        <v>123</v>
      </c>
      <c r="C36" s="50" t="n">
        <v>7</v>
      </c>
      <c r="D36" s="50" t="n">
        <v>7000</v>
      </c>
      <c r="E36" s="50" t="s">
        <v>106</v>
      </c>
      <c r="F36" s="50" t="n">
        <v>8</v>
      </c>
      <c r="G36" s="50" t="s">
        <v>108</v>
      </c>
      <c r="H36" s="50" t="n">
        <v>8</v>
      </c>
      <c r="I36" s="50" t="s">
        <v>110</v>
      </c>
      <c r="J36" s="50" t="n">
        <v>6</v>
      </c>
      <c r="K36" s="50"/>
      <c r="L36" s="50"/>
      <c r="M36" s="50" t="s">
        <v>109</v>
      </c>
      <c r="N36" s="50" t="n">
        <v>8</v>
      </c>
      <c r="O36" s="63" t="str">
        <f aca="false">"[" &amp; _xlfn.TEXTJOIN(",", 1,   IFERROR(INDEX(素材!A:A, MATCH(E36, 素材!B:B, 0)), ""),   IFERROR(INDEX(素材!A:A, MATCH(G36, 素材!B:B, 0)), ""),   IFERROR(INDEX(素材!A:A, MATCH(I36, 素材!B:B, 0)), ""),   IFERROR(INDEX(素材!A:A, MATCH(K36, 素材!B:B, 0)), "") ) &amp; "]"</f>
        <v>[3,5,7]</v>
      </c>
      <c r="P36" s="63" t="str">
        <f aca="false">"[" &amp; _xlfn.TEXTJOIN(",", 1,   IF(ISNUMBER(MATCH(E36, 素材!B:B, 0)), F36, ""),   IF(ISNUMBER(MATCH(G36, 素材!B:B, 0)), H36, ""),   IF(ISNUMBER(MATCH(I36, 素材!B:B, 0)), J36, ""),   IF(ISNUMBER(MATCH(K36, 素材!B:B, 0)), L36, "") ) &amp; "]"</f>
        <v>[8,8,6]</v>
      </c>
      <c r="Q36" s="63" t="str">
        <f aca="false">"[" &amp; _xlfn.TEXTJOIN(",", 1,   IFERROR(INDEX(素材!A:A, MATCH(M36, 素材!B:B, 0)), "") ) &amp; "]"</f>
        <v>[6]</v>
      </c>
      <c r="R36" s="64" t="str">
        <f aca="false">"[" &amp; _xlfn.TEXTJOIN(",", 1, IF(ISNUMBER(MATCH(M36, 素材!B:B, 0)), N36, "") ) &amp; "]"</f>
        <v>[8]</v>
      </c>
      <c r="S36" s="45" t="n">
        <f aca="false">IFERROR(N36/(F36+H36+J36+L36),"-")</f>
        <v>0.363636363636364</v>
      </c>
    </row>
    <row r="37" customFormat="false" ht="13.8" hidden="false" customHeight="false" outlineLevel="0" collapsed="false">
      <c r="A37" s="50" t="n">
        <f aca="false">_xlfn.XLOOKUP(B37, ノード!B:B, ノード!A:A, "")</f>
        <v>6</v>
      </c>
      <c r="B37" s="50" t="s">
        <v>123</v>
      </c>
      <c r="C37" s="50" t="n">
        <v>8</v>
      </c>
      <c r="D37" s="50" t="n">
        <v>8000</v>
      </c>
      <c r="E37" s="50" t="s">
        <v>106</v>
      </c>
      <c r="F37" s="50" t="n">
        <v>9</v>
      </c>
      <c r="G37" s="50" t="s">
        <v>108</v>
      </c>
      <c r="H37" s="50" t="n">
        <v>9</v>
      </c>
      <c r="I37" s="50" t="s">
        <v>110</v>
      </c>
      <c r="J37" s="50" t="n">
        <v>8</v>
      </c>
      <c r="K37" s="50"/>
      <c r="L37" s="50"/>
      <c r="M37" s="50" t="s">
        <v>109</v>
      </c>
      <c r="N37" s="50" t="n">
        <v>9</v>
      </c>
      <c r="O37" s="63" t="str">
        <f aca="false">"[" &amp; _xlfn.TEXTJOIN(",", 1,   IFERROR(INDEX(素材!A:A, MATCH(E37, 素材!B:B, 0)), ""),   IFERROR(INDEX(素材!A:A, MATCH(G37, 素材!B:B, 0)), ""),   IFERROR(INDEX(素材!A:A, MATCH(I37, 素材!B:B, 0)), ""),   IFERROR(INDEX(素材!A:A, MATCH(K37, 素材!B:B, 0)), "") ) &amp; "]"</f>
        <v>[3,5,7]</v>
      </c>
      <c r="P37" s="63" t="str">
        <f aca="false">"[" &amp; _xlfn.TEXTJOIN(",", 1,   IF(ISNUMBER(MATCH(E37, 素材!B:B, 0)), F37, ""),   IF(ISNUMBER(MATCH(G37, 素材!B:B, 0)), H37, ""),   IF(ISNUMBER(MATCH(I37, 素材!B:B, 0)), J37, ""),   IF(ISNUMBER(MATCH(K37, 素材!B:B, 0)), L37, "") ) &amp; "]"</f>
        <v>[9,9,8]</v>
      </c>
      <c r="Q37" s="63" t="str">
        <f aca="false">"[" &amp; _xlfn.TEXTJOIN(",", 1,   IFERROR(INDEX(素材!A:A, MATCH(M37, 素材!B:B, 0)), "") ) &amp; "]"</f>
        <v>[6]</v>
      </c>
      <c r="R37" s="64" t="str">
        <f aca="false">"[" &amp; _xlfn.TEXTJOIN(",", 1, IF(ISNUMBER(MATCH(M37, 素材!B:B, 0)), N37, "") ) &amp; "]"</f>
        <v>[9]</v>
      </c>
      <c r="S37" s="45" t="n">
        <f aca="false">IFERROR(N37/(F37+H37+J37+L37),"-")</f>
        <v>0.346153846153846</v>
      </c>
    </row>
    <row r="38" customFormat="false" ht="13.8" hidden="false" customHeight="false" outlineLevel="0" collapsed="false">
      <c r="A38" s="50" t="n">
        <f aca="false">_xlfn.XLOOKUP(B38, ノード!B:B, ノード!A:A, "")</f>
        <v>6</v>
      </c>
      <c r="B38" s="50" t="s">
        <v>123</v>
      </c>
      <c r="C38" s="50" t="n">
        <v>9</v>
      </c>
      <c r="D38" s="50" t="n">
        <v>9000</v>
      </c>
      <c r="E38" s="50" t="s">
        <v>106</v>
      </c>
      <c r="F38" s="50" t="n">
        <v>10</v>
      </c>
      <c r="G38" s="50" t="s">
        <v>108</v>
      </c>
      <c r="H38" s="50" t="n">
        <v>10</v>
      </c>
      <c r="I38" s="50" t="s">
        <v>110</v>
      </c>
      <c r="J38" s="50" t="n">
        <v>10</v>
      </c>
      <c r="K38" s="50"/>
      <c r="L38" s="50"/>
      <c r="M38" s="50" t="s">
        <v>109</v>
      </c>
      <c r="N38" s="50" t="n">
        <v>10</v>
      </c>
      <c r="O38" s="63" t="str">
        <f aca="false">"[" &amp; _xlfn.TEXTJOIN(",", 1,   IFERROR(INDEX(素材!A:A, MATCH(E38, 素材!B:B, 0)), ""),   IFERROR(INDEX(素材!A:A, MATCH(G38, 素材!B:B, 0)), ""),   IFERROR(INDEX(素材!A:A, MATCH(I38, 素材!B:B, 0)), ""),   IFERROR(INDEX(素材!A:A, MATCH(K38, 素材!B:B, 0)), "") ) &amp; "]"</f>
        <v>[3,5,7]</v>
      </c>
      <c r="P38" s="63" t="str">
        <f aca="false">"[" &amp; _xlfn.TEXTJOIN(",", 1,   IF(ISNUMBER(MATCH(E38, 素材!B:B, 0)), F38, ""),   IF(ISNUMBER(MATCH(G38, 素材!B:B, 0)), H38, ""),   IF(ISNUMBER(MATCH(I38, 素材!B:B, 0)), J38, ""),   IF(ISNUMBER(MATCH(K38, 素材!B:B, 0)), L38, "") ) &amp; "]"</f>
        <v>[10,10,10]</v>
      </c>
      <c r="Q38" s="63" t="str">
        <f aca="false">"[" &amp; _xlfn.TEXTJOIN(",", 1,   IFERROR(INDEX(素材!A:A, MATCH(M38, 素材!B:B, 0)), "") ) &amp; "]"</f>
        <v>[6]</v>
      </c>
      <c r="R38" s="64" t="str">
        <f aca="false">"[" &amp; _xlfn.TEXTJOIN(",", 1, IF(ISNUMBER(MATCH(M38, 素材!B:B, 0)), N38, "") ) &amp; "]"</f>
        <v>[10]</v>
      </c>
      <c r="S38" s="45" t="n">
        <f aca="false">IFERROR(N38/(F38+H38+J38+L38),"-")</f>
        <v>0.333333333333333</v>
      </c>
    </row>
    <row r="39" customFormat="false" ht="13.8" hidden="false" customHeight="false" outlineLevel="0" collapsed="false">
      <c r="A39" s="50" t="n">
        <f aca="false">_xlfn.XLOOKUP(B39, ノード!B:B, ノード!A:A, "")</f>
        <v>6</v>
      </c>
      <c r="B39" s="50" t="s">
        <v>123</v>
      </c>
      <c r="C39" s="50" t="n">
        <v>10</v>
      </c>
      <c r="D39" s="50" t="n">
        <v>10000</v>
      </c>
      <c r="E39" s="50" t="s">
        <v>106</v>
      </c>
      <c r="F39" s="50" t="n">
        <v>11</v>
      </c>
      <c r="G39" s="50" t="s">
        <v>108</v>
      </c>
      <c r="H39" s="50" t="n">
        <v>11</v>
      </c>
      <c r="I39" s="50" t="s">
        <v>110</v>
      </c>
      <c r="J39" s="50" t="n">
        <v>15</v>
      </c>
      <c r="K39" s="50"/>
      <c r="L39" s="50"/>
      <c r="M39" s="50" t="s">
        <v>109</v>
      </c>
      <c r="N39" s="50" t="n">
        <v>11</v>
      </c>
      <c r="O39" s="63" t="str">
        <f aca="false">"[" &amp; _xlfn.TEXTJOIN(",", 1,   IFERROR(INDEX(素材!A:A, MATCH(E39, 素材!B:B, 0)), ""),   IFERROR(INDEX(素材!A:A, MATCH(G39, 素材!B:B, 0)), ""),   IFERROR(INDEX(素材!A:A, MATCH(I39, 素材!B:B, 0)), ""),   IFERROR(INDEX(素材!A:A, MATCH(K39, 素材!B:B, 0)), "") ) &amp; "]"</f>
        <v>[3,5,7]</v>
      </c>
      <c r="P39" s="63" t="str">
        <f aca="false">"[" &amp; _xlfn.TEXTJOIN(",", 1,   IF(ISNUMBER(MATCH(E39, 素材!B:B, 0)), F39, ""),   IF(ISNUMBER(MATCH(G39, 素材!B:B, 0)), H39, ""),   IF(ISNUMBER(MATCH(I39, 素材!B:B, 0)), J39, ""),   IF(ISNUMBER(MATCH(K39, 素材!B:B, 0)), L39, "") ) &amp; "]"</f>
        <v>[11,11,15]</v>
      </c>
      <c r="Q39" s="63" t="str">
        <f aca="false">"[" &amp; _xlfn.TEXTJOIN(",", 1,   IFERROR(INDEX(素材!A:A, MATCH(M39, 素材!B:B, 0)), "") ) &amp; "]"</f>
        <v>[6]</v>
      </c>
      <c r="R39" s="64" t="str">
        <f aca="false">"[" &amp; _xlfn.TEXTJOIN(",", 1, IF(ISNUMBER(MATCH(M39, 素材!B:B, 0)), N39, "") ) &amp; "]"</f>
        <v>[11]</v>
      </c>
      <c r="S39" s="45" t="n">
        <f aca="false">IFERROR(N39/(F39+H39+J39+L39),"-")</f>
        <v>0.297297297297297</v>
      </c>
    </row>
    <row r="40" customFormat="false" ht="13.8" hidden="false" customHeight="false" outlineLevel="0" collapsed="false">
      <c r="A40" s="50" t="n">
        <f aca="false">_xlfn.XLOOKUP(B40, ノード!B:B, ノード!A:A, "")</f>
        <v>7</v>
      </c>
      <c r="B40" s="50" t="s">
        <v>124</v>
      </c>
      <c r="C40" s="50" t="n">
        <v>1</v>
      </c>
      <c r="D40" s="50" t="n">
        <v>1000</v>
      </c>
      <c r="E40" s="50" t="s">
        <v>106</v>
      </c>
      <c r="F40" s="50" t="n">
        <v>13</v>
      </c>
      <c r="G40" s="50" t="s">
        <v>109</v>
      </c>
      <c r="H40" s="50" t="n">
        <v>13</v>
      </c>
      <c r="I40" s="50" t="s">
        <v>108</v>
      </c>
      <c r="J40" s="50" t="n">
        <v>13</v>
      </c>
      <c r="K40" s="50"/>
      <c r="L40" s="50"/>
      <c r="M40" s="50" t="s">
        <v>104</v>
      </c>
      <c r="N40" s="50" t="n">
        <v>13</v>
      </c>
      <c r="O40" s="63" t="str">
        <f aca="false">"[" &amp; _xlfn.TEXTJOIN(",", 1,   IFERROR(INDEX(素材!A:A, MATCH(E40, 素材!B:B, 0)), ""),   IFERROR(INDEX(素材!A:A, MATCH(G40, 素材!B:B, 0)), ""),   IFERROR(INDEX(素材!A:A, MATCH(I40, 素材!B:B, 0)), ""),   IFERROR(INDEX(素材!A:A, MATCH(K40, 素材!B:B, 0)), "") ) &amp; "]"</f>
        <v>[3,6,5]</v>
      </c>
      <c r="P40" s="63" t="str">
        <f aca="false">"[" &amp; _xlfn.TEXTJOIN(",", 1,   IF(ISNUMBER(MATCH(E40, 素材!B:B, 0)), F40, ""),   IF(ISNUMBER(MATCH(G40, 素材!B:B, 0)), H40, ""),   IF(ISNUMBER(MATCH(I40, 素材!B:B, 0)), J40, ""),   IF(ISNUMBER(MATCH(K40, 素材!B:B, 0)), L40, "") ) &amp; "]"</f>
        <v>[13,13,13]</v>
      </c>
      <c r="Q40" s="63" t="str">
        <f aca="false">"[" &amp; _xlfn.TEXTJOIN(",", 1,   IFERROR(INDEX(素材!A:A, MATCH(M40, 素材!B:B, 0)), "") ) &amp; "]"</f>
        <v>[1]</v>
      </c>
      <c r="R40" s="64" t="str">
        <f aca="false">"[" &amp; _xlfn.TEXTJOIN(",", 1, IF(ISNUMBER(MATCH(M40, 素材!B:B, 0)), N40, "") ) &amp; "]"</f>
        <v>[13]</v>
      </c>
      <c r="S40" s="45" t="n">
        <f aca="false">IFERROR(N40/(F40+H40+J40+L40),"-")</f>
        <v>0.333333333333333</v>
      </c>
    </row>
    <row r="41" customFormat="false" ht="13.8" hidden="false" customHeight="false" outlineLevel="0" collapsed="false">
      <c r="A41" s="50" t="n">
        <f aca="false">_xlfn.XLOOKUP(B41, ノード!B:B, ノード!A:A, "")</f>
        <v>7</v>
      </c>
      <c r="B41" s="50" t="s">
        <v>124</v>
      </c>
      <c r="C41" s="50" t="n">
        <v>2</v>
      </c>
      <c r="D41" s="50" t="n">
        <v>2000</v>
      </c>
      <c r="E41" s="50" t="s">
        <v>106</v>
      </c>
      <c r="F41" s="50" t="n">
        <v>14</v>
      </c>
      <c r="G41" s="50" t="s">
        <v>109</v>
      </c>
      <c r="H41" s="50" t="n">
        <v>14</v>
      </c>
      <c r="I41" s="50" t="s">
        <v>108</v>
      </c>
      <c r="J41" s="50" t="n">
        <v>14</v>
      </c>
      <c r="K41" s="50" t="s">
        <v>110</v>
      </c>
      <c r="L41" s="50" t="n">
        <v>4</v>
      </c>
      <c r="M41" s="50" t="s">
        <v>104</v>
      </c>
      <c r="N41" s="50" t="n">
        <v>14</v>
      </c>
      <c r="O41" s="63" t="str">
        <f aca="false">"[" &amp; _xlfn.TEXTJOIN(",", 1,   IFERROR(INDEX(素材!A:A, MATCH(E41, 素材!B:B, 0)), ""),   IFERROR(INDEX(素材!A:A, MATCH(G41, 素材!B:B, 0)), ""),   IFERROR(INDEX(素材!A:A, MATCH(I41, 素材!B:B, 0)), ""),   IFERROR(INDEX(素材!A:A, MATCH(K41, 素材!B:B, 0)), "") ) &amp; "]"</f>
        <v>[3,6,5,7]</v>
      </c>
      <c r="P41" s="63" t="str">
        <f aca="false">"[" &amp; _xlfn.TEXTJOIN(",", 1,   IF(ISNUMBER(MATCH(E41, 素材!B:B, 0)), F41, ""),   IF(ISNUMBER(MATCH(G41, 素材!B:B, 0)), H41, ""),   IF(ISNUMBER(MATCH(I41, 素材!B:B, 0)), J41, ""),   IF(ISNUMBER(MATCH(K41, 素材!B:B, 0)), L41, "") ) &amp; "]"</f>
        <v>[14,14,14,4]</v>
      </c>
      <c r="Q41" s="63" t="str">
        <f aca="false">"[" &amp; _xlfn.TEXTJOIN(",", 1,   IFERROR(INDEX(素材!A:A, MATCH(M41, 素材!B:B, 0)), "") ) &amp; "]"</f>
        <v>[1]</v>
      </c>
      <c r="R41" s="64" t="str">
        <f aca="false">"[" &amp; _xlfn.TEXTJOIN(",", 1, IF(ISNUMBER(MATCH(M41, 素材!B:B, 0)), N41, "") ) &amp; "]"</f>
        <v>[14]</v>
      </c>
      <c r="S41" s="45" t="n">
        <f aca="false">IFERROR(N41/(F41+H41+J41+L41),"-")</f>
        <v>0.304347826086957</v>
      </c>
    </row>
    <row r="42" customFormat="false" ht="13.8" hidden="false" customHeight="false" outlineLevel="0" collapsed="false">
      <c r="A42" s="50" t="n">
        <f aca="false">_xlfn.XLOOKUP(B42, ノード!B:B, ノード!A:A, "")</f>
        <v>7</v>
      </c>
      <c r="B42" s="50" t="s">
        <v>124</v>
      </c>
      <c r="C42" s="50" t="n">
        <v>3</v>
      </c>
      <c r="D42" s="50" t="n">
        <v>3000</v>
      </c>
      <c r="E42" s="50" t="s">
        <v>106</v>
      </c>
      <c r="F42" s="50" t="n">
        <v>15</v>
      </c>
      <c r="G42" s="50" t="s">
        <v>109</v>
      </c>
      <c r="H42" s="50" t="n">
        <v>15</v>
      </c>
      <c r="I42" s="50" t="s">
        <v>108</v>
      </c>
      <c r="J42" s="50" t="n">
        <v>15</v>
      </c>
      <c r="K42" s="50" t="s">
        <v>110</v>
      </c>
      <c r="L42" s="50" t="n">
        <v>8</v>
      </c>
      <c r="M42" s="50" t="s">
        <v>104</v>
      </c>
      <c r="N42" s="50" t="n">
        <v>15</v>
      </c>
      <c r="O42" s="63" t="str">
        <f aca="false">"[" &amp; _xlfn.TEXTJOIN(",", 1,   IFERROR(INDEX(素材!A:A, MATCH(E42, 素材!B:B, 0)), ""),   IFERROR(INDEX(素材!A:A, MATCH(G42, 素材!B:B, 0)), ""),   IFERROR(INDEX(素材!A:A, MATCH(I42, 素材!B:B, 0)), ""),   IFERROR(INDEX(素材!A:A, MATCH(K42, 素材!B:B, 0)), "") ) &amp; "]"</f>
        <v>[3,6,5,7]</v>
      </c>
      <c r="P42" s="63" t="str">
        <f aca="false">"[" &amp; _xlfn.TEXTJOIN(",", 1,   IF(ISNUMBER(MATCH(E42, 素材!B:B, 0)), F42, ""),   IF(ISNUMBER(MATCH(G42, 素材!B:B, 0)), H42, ""),   IF(ISNUMBER(MATCH(I42, 素材!B:B, 0)), J42, ""),   IF(ISNUMBER(MATCH(K42, 素材!B:B, 0)), L42, "") ) &amp; "]"</f>
        <v>[15,15,15,8]</v>
      </c>
      <c r="Q42" s="63" t="str">
        <f aca="false">"[" &amp; _xlfn.TEXTJOIN(",", 1,   IFERROR(INDEX(素材!A:A, MATCH(M42, 素材!B:B, 0)), "") ) &amp; "]"</f>
        <v>[1]</v>
      </c>
      <c r="R42" s="64" t="str">
        <f aca="false">"[" &amp; _xlfn.TEXTJOIN(",", 1, IF(ISNUMBER(MATCH(M42, 素材!B:B, 0)), N42, "") ) &amp; "]"</f>
        <v>[15]</v>
      </c>
      <c r="S42" s="45" t="n">
        <f aca="false">IFERROR(N42/(F42+H42+J42+L42),"-")</f>
        <v>0.283018867924528</v>
      </c>
    </row>
    <row r="43" customFormat="false" ht="13.8" hidden="false" customHeight="false" outlineLevel="0" collapsed="false">
      <c r="A43" s="50" t="n">
        <f aca="false">_xlfn.XLOOKUP(B43, ノード!B:B, ノード!A:A, "")</f>
        <v>7</v>
      </c>
      <c r="B43" s="50" t="s">
        <v>124</v>
      </c>
      <c r="C43" s="50" t="n">
        <v>4</v>
      </c>
      <c r="D43" s="50" t="n">
        <v>4000</v>
      </c>
      <c r="E43" s="50" t="s">
        <v>106</v>
      </c>
      <c r="F43" s="50" t="n">
        <v>16</v>
      </c>
      <c r="G43" s="50" t="s">
        <v>109</v>
      </c>
      <c r="H43" s="50" t="n">
        <v>16</v>
      </c>
      <c r="I43" s="50" t="s">
        <v>108</v>
      </c>
      <c r="J43" s="50" t="n">
        <v>16</v>
      </c>
      <c r="K43" s="50" t="s">
        <v>110</v>
      </c>
      <c r="L43" s="50"/>
      <c r="M43" s="50" t="s">
        <v>104</v>
      </c>
      <c r="N43" s="50" t="n">
        <v>16</v>
      </c>
      <c r="O43" s="63" t="str">
        <f aca="false">"[" &amp; _xlfn.TEXTJOIN(",", 1,   IFERROR(INDEX(素材!A:A, MATCH(E43, 素材!B:B, 0)), ""),   IFERROR(INDEX(素材!A:A, MATCH(G43, 素材!B:B, 0)), ""),   IFERROR(INDEX(素材!A:A, MATCH(I43, 素材!B:B, 0)), ""),   IFERROR(INDEX(素材!A:A, MATCH(K43, 素材!B:B, 0)), "") ) &amp; "]"</f>
        <v>[3,6,5,7]</v>
      </c>
      <c r="P43" s="63" t="str">
        <f aca="false">"[" &amp; _xlfn.TEXTJOIN(",", 1,   IF(ISNUMBER(MATCH(E43, 素材!B:B, 0)), F43, ""),   IF(ISNUMBER(MATCH(G43, 素材!B:B, 0)), H43, ""),   IF(ISNUMBER(MATCH(I43, 素材!B:B, 0)), J43, ""),   IF(ISNUMBER(MATCH(K43, 素材!B:B, 0)), L43, "") ) &amp; "]"</f>
        <v>[16,16,16]</v>
      </c>
      <c r="Q43" s="63" t="str">
        <f aca="false">"[" &amp; _xlfn.TEXTJOIN(",", 1,   IFERROR(INDEX(素材!A:A, MATCH(M43, 素材!B:B, 0)), "") ) &amp; "]"</f>
        <v>[1]</v>
      </c>
      <c r="R43" s="64" t="str">
        <f aca="false">"[" &amp; _xlfn.TEXTJOIN(",", 1, IF(ISNUMBER(MATCH(M43, 素材!B:B, 0)), N43, "") ) &amp; "]"</f>
        <v>[16]</v>
      </c>
      <c r="S43" s="45" t="n">
        <f aca="false">IFERROR(N43/(F43+H43+J43+L43),"-")</f>
        <v>0.333333333333333</v>
      </c>
    </row>
    <row r="44" customFormat="false" ht="13.8" hidden="false" customHeight="false" outlineLevel="0" collapsed="false">
      <c r="A44" s="50" t="n">
        <f aca="false">_xlfn.XLOOKUP(B44, ノード!B:B, ノード!A:A, "")</f>
        <v>7</v>
      </c>
      <c r="B44" s="50" t="s">
        <v>124</v>
      </c>
      <c r="C44" s="50" t="n">
        <v>5</v>
      </c>
      <c r="D44" s="50" t="n">
        <v>5000</v>
      </c>
      <c r="E44" s="50" t="s">
        <v>106</v>
      </c>
      <c r="F44" s="50" t="n">
        <v>17</v>
      </c>
      <c r="G44" s="50" t="s">
        <v>109</v>
      </c>
      <c r="H44" s="50" t="n">
        <v>17</v>
      </c>
      <c r="I44" s="50" t="s">
        <v>108</v>
      </c>
      <c r="J44" s="50" t="n">
        <v>17</v>
      </c>
      <c r="K44" s="50" t="s">
        <v>110</v>
      </c>
      <c r="L44" s="50"/>
      <c r="M44" s="50" t="s">
        <v>104</v>
      </c>
      <c r="N44" s="50" t="n">
        <v>17</v>
      </c>
      <c r="O44" s="63" t="str">
        <f aca="false">"[" &amp; _xlfn.TEXTJOIN(",", 1,   IFERROR(INDEX(素材!A:A, MATCH(E44, 素材!B:B, 0)), ""),   IFERROR(INDEX(素材!A:A, MATCH(G44, 素材!B:B, 0)), ""),   IFERROR(INDEX(素材!A:A, MATCH(I44, 素材!B:B, 0)), ""),   IFERROR(INDEX(素材!A:A, MATCH(K44, 素材!B:B, 0)), "") ) &amp; "]"</f>
        <v>[3,6,5,7]</v>
      </c>
      <c r="P44" s="63" t="str">
        <f aca="false">"[" &amp; _xlfn.TEXTJOIN(",", 1,   IF(ISNUMBER(MATCH(E44, 素材!B:B, 0)), F44, ""),   IF(ISNUMBER(MATCH(G44, 素材!B:B, 0)), H44, ""),   IF(ISNUMBER(MATCH(I44, 素材!B:B, 0)), J44, ""),   IF(ISNUMBER(MATCH(K44, 素材!B:B, 0)), L44, "") ) &amp; "]"</f>
        <v>[17,17,17]</v>
      </c>
      <c r="Q44" s="63" t="str">
        <f aca="false">"[" &amp; _xlfn.TEXTJOIN(",", 1,   IFERROR(INDEX(素材!A:A, MATCH(M44, 素材!B:B, 0)), "") ) &amp; "]"</f>
        <v>[1]</v>
      </c>
      <c r="R44" s="64" t="str">
        <f aca="false">"[" &amp; _xlfn.TEXTJOIN(",", 1, IF(ISNUMBER(MATCH(M44, 素材!B:B, 0)), N44, "") ) &amp; "]"</f>
        <v>[17]</v>
      </c>
      <c r="S44" s="45" t="n">
        <f aca="false">IFERROR(N44/(F44+H44+J44+L44),"-")</f>
        <v>0.333333333333333</v>
      </c>
    </row>
    <row r="45" customFormat="false" ht="13.8" hidden="false" customHeight="false" outlineLevel="0" collapsed="false">
      <c r="A45" s="50" t="n">
        <f aca="false">_xlfn.XLOOKUP(B45, ノード!B:B, ノード!A:A, "")</f>
        <v>7</v>
      </c>
      <c r="B45" s="50" t="s">
        <v>124</v>
      </c>
      <c r="C45" s="50" t="n">
        <v>6</v>
      </c>
      <c r="D45" s="50" t="n">
        <v>6000</v>
      </c>
      <c r="E45" s="50" t="s">
        <v>106</v>
      </c>
      <c r="F45" s="50" t="n">
        <v>18</v>
      </c>
      <c r="G45" s="50" t="s">
        <v>109</v>
      </c>
      <c r="H45" s="50" t="n">
        <v>18</v>
      </c>
      <c r="I45" s="50" t="s">
        <v>108</v>
      </c>
      <c r="J45" s="50" t="n">
        <v>18</v>
      </c>
      <c r="K45" s="50" t="s">
        <v>110</v>
      </c>
      <c r="L45" s="50"/>
      <c r="M45" s="50" t="s">
        <v>104</v>
      </c>
      <c r="N45" s="50" t="n">
        <v>18</v>
      </c>
      <c r="O45" s="63" t="str">
        <f aca="false">"[" &amp; _xlfn.TEXTJOIN(",", 1,   IFERROR(INDEX(素材!A:A, MATCH(E45, 素材!B:B, 0)), ""),   IFERROR(INDEX(素材!A:A, MATCH(G45, 素材!B:B, 0)), ""),   IFERROR(INDEX(素材!A:A, MATCH(I45, 素材!B:B, 0)), ""),   IFERROR(INDEX(素材!A:A, MATCH(K45, 素材!B:B, 0)), "") ) &amp; "]"</f>
        <v>[3,6,5,7]</v>
      </c>
      <c r="P45" s="63" t="str">
        <f aca="false">"[" &amp; _xlfn.TEXTJOIN(",", 1,   IF(ISNUMBER(MATCH(E45, 素材!B:B, 0)), F45, ""),   IF(ISNUMBER(MATCH(G45, 素材!B:B, 0)), H45, ""),   IF(ISNUMBER(MATCH(I45, 素材!B:B, 0)), J45, ""),   IF(ISNUMBER(MATCH(K45, 素材!B:B, 0)), L45, "") ) &amp; "]"</f>
        <v>[18,18,18]</v>
      </c>
      <c r="Q45" s="63" t="str">
        <f aca="false">"[" &amp; _xlfn.TEXTJOIN(",", 1,   IFERROR(INDEX(素材!A:A, MATCH(M45, 素材!B:B, 0)), "") ) &amp; "]"</f>
        <v>[1]</v>
      </c>
      <c r="R45" s="64" t="str">
        <f aca="false">"[" &amp; _xlfn.TEXTJOIN(",", 1, IF(ISNUMBER(MATCH(M45, 素材!B:B, 0)), N45, "") ) &amp; "]"</f>
        <v>[18]</v>
      </c>
      <c r="S45" s="45" t="n">
        <f aca="false">IFERROR(N45/(F45+H45+J45+L45),"-")</f>
        <v>0.333333333333333</v>
      </c>
    </row>
    <row r="46" customFormat="false" ht="13.8" hidden="false" customHeight="false" outlineLevel="0" collapsed="false">
      <c r="A46" s="50" t="n">
        <f aca="false">_xlfn.XLOOKUP(B46, ノード!B:B, ノード!A:A, "")</f>
        <v>7</v>
      </c>
      <c r="B46" s="50" t="s">
        <v>124</v>
      </c>
      <c r="C46" s="50" t="n">
        <v>7</v>
      </c>
      <c r="D46" s="50" t="n">
        <v>7000</v>
      </c>
      <c r="E46" s="50" t="s">
        <v>106</v>
      </c>
      <c r="F46" s="50" t="n">
        <v>19</v>
      </c>
      <c r="G46" s="50" t="s">
        <v>109</v>
      </c>
      <c r="H46" s="50" t="n">
        <v>19</v>
      </c>
      <c r="I46" s="50" t="s">
        <v>108</v>
      </c>
      <c r="J46" s="50" t="n">
        <v>19</v>
      </c>
      <c r="K46" s="50" t="s">
        <v>110</v>
      </c>
      <c r="L46" s="50"/>
      <c r="M46" s="50" t="s">
        <v>104</v>
      </c>
      <c r="N46" s="50" t="n">
        <v>19</v>
      </c>
      <c r="O46" s="63" t="str">
        <f aca="false">"[" &amp; _xlfn.TEXTJOIN(",", 1,   IFERROR(INDEX(素材!A:A, MATCH(E46, 素材!B:B, 0)), ""),   IFERROR(INDEX(素材!A:A, MATCH(G46, 素材!B:B, 0)), ""),   IFERROR(INDEX(素材!A:A, MATCH(I46, 素材!B:B, 0)), ""),   IFERROR(INDEX(素材!A:A, MATCH(K46, 素材!B:B, 0)), "") ) &amp; "]"</f>
        <v>[3,6,5,7]</v>
      </c>
      <c r="P46" s="63" t="str">
        <f aca="false">"[" &amp; _xlfn.TEXTJOIN(",", 1,   IF(ISNUMBER(MATCH(E46, 素材!B:B, 0)), F46, ""),   IF(ISNUMBER(MATCH(G46, 素材!B:B, 0)), H46, ""),   IF(ISNUMBER(MATCH(I46, 素材!B:B, 0)), J46, ""),   IF(ISNUMBER(MATCH(K46, 素材!B:B, 0)), L46, "") ) &amp; "]"</f>
        <v>[19,19,19]</v>
      </c>
      <c r="Q46" s="63" t="str">
        <f aca="false">"[" &amp; _xlfn.TEXTJOIN(",", 1,   IFERROR(INDEX(素材!A:A, MATCH(M46, 素材!B:B, 0)), "") ) &amp; "]"</f>
        <v>[1]</v>
      </c>
      <c r="R46" s="64" t="str">
        <f aca="false">"[" &amp; _xlfn.TEXTJOIN(",", 1, IF(ISNUMBER(MATCH(M46, 素材!B:B, 0)), N46, "") ) &amp; "]"</f>
        <v>[19]</v>
      </c>
      <c r="S46" s="45" t="n">
        <f aca="false">IFERROR(N46/(F46+H46+J46+L46),"-")</f>
        <v>0.333333333333333</v>
      </c>
    </row>
    <row r="47" customFormat="false" ht="13.8" hidden="false" customHeight="false" outlineLevel="0" collapsed="false">
      <c r="A47" s="50" t="n">
        <f aca="false">_xlfn.XLOOKUP(B47, ノード!B:B, ノード!A:A, "")</f>
        <v>7</v>
      </c>
      <c r="B47" s="50" t="s">
        <v>124</v>
      </c>
      <c r="C47" s="50" t="n">
        <v>8</v>
      </c>
      <c r="D47" s="50" t="n">
        <v>8000</v>
      </c>
      <c r="E47" s="50" t="s">
        <v>106</v>
      </c>
      <c r="F47" s="50" t="n">
        <v>13</v>
      </c>
      <c r="G47" s="50" t="s">
        <v>109</v>
      </c>
      <c r="H47" s="50" t="n">
        <v>13</v>
      </c>
      <c r="I47" s="50" t="s">
        <v>108</v>
      </c>
      <c r="J47" s="50" t="n">
        <v>20</v>
      </c>
      <c r="K47" s="50" t="s">
        <v>110</v>
      </c>
      <c r="L47" s="50"/>
      <c r="M47" s="50" t="s">
        <v>104</v>
      </c>
      <c r="N47" s="50" t="n">
        <v>13</v>
      </c>
      <c r="O47" s="63" t="str">
        <f aca="false">"[" &amp; _xlfn.TEXTJOIN(",", 1,   IFERROR(INDEX(素材!A:A, MATCH(E47, 素材!B:B, 0)), ""),   IFERROR(INDEX(素材!A:A, MATCH(G47, 素材!B:B, 0)), ""),   IFERROR(INDEX(素材!A:A, MATCH(I47, 素材!B:B, 0)), ""),   IFERROR(INDEX(素材!A:A, MATCH(K47, 素材!B:B, 0)), "") ) &amp; "]"</f>
        <v>[3,6,5,7]</v>
      </c>
      <c r="P47" s="63" t="str">
        <f aca="false">"[" &amp; _xlfn.TEXTJOIN(",", 1,   IF(ISNUMBER(MATCH(E47, 素材!B:B, 0)), F47, ""),   IF(ISNUMBER(MATCH(G47, 素材!B:B, 0)), H47, ""),   IF(ISNUMBER(MATCH(I47, 素材!B:B, 0)), J47, ""),   IF(ISNUMBER(MATCH(K47, 素材!B:B, 0)), L47, "") ) &amp; "]"</f>
        <v>[13,13,20]</v>
      </c>
      <c r="Q47" s="63" t="str">
        <f aca="false">"[" &amp; _xlfn.TEXTJOIN(",", 1,   IFERROR(INDEX(素材!A:A, MATCH(M47, 素材!B:B, 0)), "") ) &amp; "]"</f>
        <v>[1]</v>
      </c>
      <c r="R47" s="64" t="str">
        <f aca="false">"[" &amp; _xlfn.TEXTJOIN(",", 1, IF(ISNUMBER(MATCH(M47, 素材!B:B, 0)), N47, "") ) &amp; "]"</f>
        <v>[13]</v>
      </c>
      <c r="S47" s="45" t="n">
        <f aca="false">IFERROR(N47/(F47+H47+J47+L47),"-")</f>
        <v>0.282608695652174</v>
      </c>
    </row>
    <row r="48" customFormat="false" ht="13.8" hidden="false" customHeight="false" outlineLevel="0" collapsed="false">
      <c r="A48" s="50" t="n">
        <f aca="false">_xlfn.XLOOKUP(B48, ノード!B:B, ノード!A:A, "")</f>
        <v>7</v>
      </c>
      <c r="B48" s="50" t="s">
        <v>124</v>
      </c>
      <c r="C48" s="50" t="n">
        <v>9</v>
      </c>
      <c r="D48" s="50" t="n">
        <v>9000</v>
      </c>
      <c r="E48" s="50" t="s">
        <v>106</v>
      </c>
      <c r="F48" s="50" t="n">
        <v>14</v>
      </c>
      <c r="G48" s="50" t="s">
        <v>109</v>
      </c>
      <c r="H48" s="50" t="n">
        <v>14</v>
      </c>
      <c r="I48" s="50" t="s">
        <v>108</v>
      </c>
      <c r="J48" s="50" t="n">
        <v>21</v>
      </c>
      <c r="K48" s="50" t="s">
        <v>110</v>
      </c>
      <c r="L48" s="50"/>
      <c r="M48" s="50" t="s">
        <v>104</v>
      </c>
      <c r="N48" s="50" t="n">
        <v>14</v>
      </c>
      <c r="O48" s="63" t="str">
        <f aca="false">"[" &amp; _xlfn.TEXTJOIN(",", 1,   IFERROR(INDEX(素材!A:A, MATCH(E48, 素材!B:B, 0)), ""),   IFERROR(INDEX(素材!A:A, MATCH(G48, 素材!B:B, 0)), ""),   IFERROR(INDEX(素材!A:A, MATCH(I48, 素材!B:B, 0)), ""),   IFERROR(INDEX(素材!A:A, MATCH(K48, 素材!B:B, 0)), "") ) &amp; "]"</f>
        <v>[3,6,5,7]</v>
      </c>
      <c r="P48" s="63" t="str">
        <f aca="false">"[" &amp; _xlfn.TEXTJOIN(",", 1,   IF(ISNUMBER(MATCH(E48, 素材!B:B, 0)), F48, ""),   IF(ISNUMBER(MATCH(G48, 素材!B:B, 0)), H48, ""),   IF(ISNUMBER(MATCH(I48, 素材!B:B, 0)), J48, ""),   IF(ISNUMBER(MATCH(K48, 素材!B:B, 0)), L48, "") ) &amp; "]"</f>
        <v>[14,14,21]</v>
      </c>
      <c r="Q48" s="63" t="str">
        <f aca="false">"[" &amp; _xlfn.TEXTJOIN(",", 1,   IFERROR(INDEX(素材!A:A, MATCH(M48, 素材!B:B, 0)), "") ) &amp; "]"</f>
        <v>[1]</v>
      </c>
      <c r="R48" s="64" t="str">
        <f aca="false">"[" &amp; _xlfn.TEXTJOIN(",", 1, IF(ISNUMBER(MATCH(M48, 素材!B:B, 0)), N48, "") ) &amp; "]"</f>
        <v>[14]</v>
      </c>
      <c r="S48" s="45" t="n">
        <f aca="false">IFERROR(N48/(F48+H48+J48+L48),"-")</f>
        <v>0.285714285714286</v>
      </c>
    </row>
    <row r="49" customFormat="false" ht="13.8" hidden="false" customHeight="false" outlineLevel="0" collapsed="false">
      <c r="A49" s="50" t="n">
        <f aca="false">_xlfn.XLOOKUP(B49, ノード!B:B, ノード!A:A, "")</f>
        <v>7</v>
      </c>
      <c r="B49" s="50" t="s">
        <v>124</v>
      </c>
      <c r="C49" s="50" t="n">
        <v>10</v>
      </c>
      <c r="D49" s="50" t="n">
        <v>10000</v>
      </c>
      <c r="E49" s="50" t="s">
        <v>106</v>
      </c>
      <c r="F49" s="50" t="n">
        <v>15</v>
      </c>
      <c r="G49" s="50" t="s">
        <v>109</v>
      </c>
      <c r="H49" s="50" t="n">
        <v>15</v>
      </c>
      <c r="I49" s="50" t="s">
        <v>108</v>
      </c>
      <c r="J49" s="50" t="n">
        <v>22</v>
      </c>
      <c r="K49" s="50" t="s">
        <v>110</v>
      </c>
      <c r="L49" s="50"/>
      <c r="M49" s="50" t="s">
        <v>104</v>
      </c>
      <c r="N49" s="50" t="n">
        <v>15</v>
      </c>
      <c r="O49" s="63" t="str">
        <f aca="false">"[" &amp; _xlfn.TEXTJOIN(",", 1,   IFERROR(INDEX(素材!A:A, MATCH(E49, 素材!B:B, 0)), ""),   IFERROR(INDEX(素材!A:A, MATCH(G49, 素材!B:B, 0)), ""),   IFERROR(INDEX(素材!A:A, MATCH(I49, 素材!B:B, 0)), ""),   IFERROR(INDEX(素材!A:A, MATCH(K49, 素材!B:B, 0)), "") ) &amp; "]"</f>
        <v>[3,6,5,7]</v>
      </c>
      <c r="P49" s="63" t="str">
        <f aca="false">"[" &amp; _xlfn.TEXTJOIN(",", 1,   IF(ISNUMBER(MATCH(E49, 素材!B:B, 0)), F49, ""),   IF(ISNUMBER(MATCH(G49, 素材!B:B, 0)), H49, ""),   IF(ISNUMBER(MATCH(I49, 素材!B:B, 0)), J49, ""),   IF(ISNUMBER(MATCH(K49, 素材!B:B, 0)), L49, "") ) &amp; "]"</f>
        <v>[15,15,22]</v>
      </c>
      <c r="Q49" s="63" t="str">
        <f aca="false">"[" &amp; _xlfn.TEXTJOIN(",", 1,   IFERROR(INDEX(素材!A:A, MATCH(M49, 素材!B:B, 0)), "") ) &amp; "]"</f>
        <v>[1]</v>
      </c>
      <c r="R49" s="64" t="str">
        <f aca="false">"[" &amp; _xlfn.TEXTJOIN(",", 1, IF(ISNUMBER(MATCH(M49, 素材!B:B, 0)), N49, "") ) &amp; "]"</f>
        <v>[15]</v>
      </c>
      <c r="S49" s="45" t="n">
        <f aca="false">IFERROR(N49/(F49+H49+J49+L49),"-")</f>
        <v>0.288461538461538</v>
      </c>
    </row>
    <row r="50" customFormat="false" ht="13.8" hidden="false" customHeight="false" outlineLevel="0" collapsed="false">
      <c r="A50" s="50" t="n">
        <f aca="false">_xlfn.XLOOKUP(B50, ノード!B:B, ノード!A:A, "")</f>
        <v>8</v>
      </c>
      <c r="B50" s="50" t="s">
        <v>125</v>
      </c>
      <c r="C50" s="50" t="n">
        <v>0</v>
      </c>
      <c r="D50" s="50" t="n">
        <v>0</v>
      </c>
      <c r="E50" s="50"/>
      <c r="F50" s="50"/>
      <c r="G50" s="50"/>
      <c r="H50" s="50"/>
      <c r="I50" s="50"/>
      <c r="J50" s="50"/>
      <c r="K50" s="50"/>
      <c r="L50" s="50"/>
      <c r="M50" s="50" t="s">
        <v>110</v>
      </c>
      <c r="N50" s="50" t="n">
        <v>4</v>
      </c>
      <c r="O50" s="63" t="str">
        <f aca="false">"[" &amp; _xlfn.TEXTJOIN(",", 1,   IFERROR(INDEX(素材!A:A, MATCH(E50, 素材!B:B, 0)), ""),   IFERROR(INDEX(素材!A:A, MATCH(G50, 素材!B:B, 0)), ""),   IFERROR(INDEX(素材!A:A, MATCH(I50, 素材!B:B, 0)), ""),   IFERROR(INDEX(素材!A:A, MATCH(K50, 素材!B:B, 0)), "") ) &amp; "]"</f>
        <v>[]</v>
      </c>
      <c r="P50" s="63" t="str">
        <f aca="false">"[" &amp; _xlfn.TEXTJOIN(",", 1,   IF(ISNUMBER(MATCH(E50, 素材!B:B, 0)), F50, ""),   IF(ISNUMBER(MATCH(G50, 素材!B:B, 0)), H50, ""),   IF(ISNUMBER(MATCH(I50, 素材!B:B, 0)), J50, ""),   IF(ISNUMBER(MATCH(K50, 素材!B:B, 0)), L50, "") ) &amp; "]"</f>
        <v>[]</v>
      </c>
      <c r="Q50" s="63" t="str">
        <f aca="false">"[" &amp; _xlfn.TEXTJOIN(",", 1,   IFERROR(INDEX(素材!A:A, MATCH(M50, 素材!B:B, 0)), "") ) &amp; "]"</f>
        <v>[7]</v>
      </c>
      <c r="R50" s="64" t="str">
        <f aca="false">"[" &amp; _xlfn.TEXTJOIN(",", 1, IF(ISNUMBER(MATCH(M50, 素材!B:B, 0)), N50, "") ) &amp; "]"</f>
        <v>[4]</v>
      </c>
      <c r="S50" s="45" t="str">
        <f aca="false">IFERROR(N50/(F50+H50+J50+L50),"-")</f>
        <v>-</v>
      </c>
    </row>
    <row r="51" customFormat="false" ht="13.8" hidden="false" customHeight="false" outlineLevel="0" collapsed="false">
      <c r="A51" s="50" t="n">
        <f aca="false">_xlfn.XLOOKUP(B51, ノード!B:B, ノード!A:A, "")</f>
        <v>9</v>
      </c>
      <c r="B51" s="50" t="s">
        <v>126</v>
      </c>
      <c r="C51" s="50" t="n">
        <v>1</v>
      </c>
      <c r="D51" s="50" t="n">
        <v>1000</v>
      </c>
      <c r="E51" s="50" t="s">
        <v>108</v>
      </c>
      <c r="F51" s="50" t="n">
        <v>10</v>
      </c>
      <c r="G51" s="50"/>
      <c r="H51" s="50"/>
      <c r="I51" s="50"/>
      <c r="J51" s="50"/>
      <c r="K51" s="50"/>
      <c r="L51" s="50"/>
      <c r="M51" s="50" t="s">
        <v>104</v>
      </c>
      <c r="N51" s="50" t="n">
        <v>10</v>
      </c>
      <c r="O51" s="63" t="str">
        <f aca="false">"[" &amp; _xlfn.TEXTJOIN(",", 1,   IFERROR(INDEX(素材!A:A, MATCH(E51, 素材!B:B, 0)), ""),   IFERROR(INDEX(素材!A:A, MATCH(G51, 素材!B:B, 0)), ""),   IFERROR(INDEX(素材!A:A, MATCH(I51, 素材!B:B, 0)), ""),   IFERROR(INDEX(素材!A:A, MATCH(K51, 素材!B:B, 0)), "") ) &amp; "]"</f>
        <v>[5]</v>
      </c>
      <c r="P51" s="63" t="str">
        <f aca="false">"[" &amp; _xlfn.TEXTJOIN(",", 1,   IF(ISNUMBER(MATCH(E51, 素材!B:B, 0)), F51, ""),   IF(ISNUMBER(MATCH(G51, 素材!B:B, 0)), H51, ""),   IF(ISNUMBER(MATCH(I51, 素材!B:B, 0)), J51, ""),   IF(ISNUMBER(MATCH(K51, 素材!B:B, 0)), L51, "") ) &amp; "]"</f>
        <v>[10]</v>
      </c>
      <c r="Q51" s="63" t="str">
        <f aca="false">"[" &amp; _xlfn.TEXTJOIN(",", 1,   IFERROR(INDEX(素材!A:A, MATCH(M51, 素材!B:B, 0)), "") ) &amp; "]"</f>
        <v>[1]</v>
      </c>
      <c r="R51" s="64" t="str">
        <f aca="false">"[" &amp; _xlfn.TEXTJOIN(",", 1, IF(ISNUMBER(MATCH(M51, 素材!B:B, 0)), N51, "") ) &amp; "]"</f>
        <v>[10]</v>
      </c>
      <c r="S51" s="45" t="n">
        <f aca="false">IFERROR(N51/(F51+H51+J51+L51),"-")</f>
        <v>1</v>
      </c>
    </row>
    <row r="52" customFormat="false" ht="13.8" hidden="false" customHeight="false" outlineLevel="0" collapsed="false">
      <c r="A52" s="50" t="n">
        <f aca="false">_xlfn.XLOOKUP(B52, ノード!B:B, ノード!A:A, "")</f>
        <v>9</v>
      </c>
      <c r="B52" s="50" t="s">
        <v>126</v>
      </c>
      <c r="C52" s="50" t="n">
        <v>2</v>
      </c>
      <c r="D52" s="50" t="n">
        <v>5000</v>
      </c>
      <c r="E52" s="50" t="s">
        <v>108</v>
      </c>
      <c r="F52" s="50" t="n">
        <v>30</v>
      </c>
      <c r="G52" s="50"/>
      <c r="H52" s="50"/>
      <c r="I52" s="50"/>
      <c r="J52" s="50"/>
      <c r="K52" s="50"/>
      <c r="L52" s="50"/>
      <c r="M52" s="50" t="s">
        <v>104</v>
      </c>
      <c r="N52" s="50" t="n">
        <v>30</v>
      </c>
      <c r="O52" s="63" t="str">
        <f aca="false">"[" &amp; _xlfn.TEXTJOIN(",", 1,   IFERROR(INDEX(素材!A:A, MATCH(E52, 素材!B:B, 0)), ""),   IFERROR(INDEX(素材!A:A, MATCH(G52, 素材!B:B, 0)), ""),   IFERROR(INDEX(素材!A:A, MATCH(I52, 素材!B:B, 0)), ""),   IFERROR(INDEX(素材!A:A, MATCH(K52, 素材!B:B, 0)), "") ) &amp; "]"</f>
        <v>[5]</v>
      </c>
      <c r="P52" s="63" t="str">
        <f aca="false">"[" &amp; _xlfn.TEXTJOIN(",", 1,   IF(ISNUMBER(MATCH(E52, 素材!B:B, 0)), F52, ""),   IF(ISNUMBER(MATCH(G52, 素材!B:B, 0)), H52, ""),   IF(ISNUMBER(MATCH(I52, 素材!B:B, 0)), J52, ""),   IF(ISNUMBER(MATCH(K52, 素材!B:B, 0)), L52, "") ) &amp; "]"</f>
        <v>[30]</v>
      </c>
      <c r="Q52" s="63" t="str">
        <f aca="false">"[" &amp; _xlfn.TEXTJOIN(",", 1,   IFERROR(INDEX(素材!A:A, MATCH(M52, 素材!B:B, 0)), "") ) &amp; "]"</f>
        <v>[1]</v>
      </c>
      <c r="R52" s="64" t="str">
        <f aca="false">"[" &amp; _xlfn.TEXTJOIN(",", 1, IF(ISNUMBER(MATCH(M52, 素材!B:B, 0)), N52, "") ) &amp; "]"</f>
        <v>[30]</v>
      </c>
      <c r="S52" s="45" t="n">
        <f aca="false">IFERROR(N52/(F52+H52+J52+L52),"-")</f>
        <v>1</v>
      </c>
    </row>
    <row r="53" customFormat="false" ht="13.8" hidden="false" customHeight="false" outlineLevel="0" collapsed="false">
      <c r="A53" s="50" t="n">
        <f aca="false">_xlfn.XLOOKUP(B53, ノード!B:B, ノード!A:A, "")</f>
        <v>10</v>
      </c>
      <c r="B53" s="50" t="s">
        <v>127</v>
      </c>
      <c r="C53" s="50" t="n">
        <v>1</v>
      </c>
      <c r="D53" s="50" t="n">
        <v>1000</v>
      </c>
      <c r="E53" s="50" t="s">
        <v>106</v>
      </c>
      <c r="F53" s="50" t="n">
        <v>1</v>
      </c>
      <c r="G53" s="50" t="s">
        <v>107</v>
      </c>
      <c r="H53" s="50" t="n">
        <v>1</v>
      </c>
      <c r="I53" s="50" t="s">
        <v>108</v>
      </c>
      <c r="J53" s="50" t="n">
        <v>1</v>
      </c>
      <c r="K53" s="50"/>
      <c r="L53" s="50"/>
      <c r="M53" s="50" t="s">
        <v>104</v>
      </c>
      <c r="N53" s="50" t="n">
        <v>1</v>
      </c>
      <c r="O53" s="63" t="str">
        <f aca="false">"[" &amp; _xlfn.TEXTJOIN(",", 1,   IFERROR(INDEX(素材!A:A, MATCH(E53, 素材!B:B, 0)), ""),   IFERROR(INDEX(素材!A:A, MATCH(G53, 素材!B:B, 0)), ""),   IFERROR(INDEX(素材!A:A, MATCH(I53, 素材!B:B, 0)), ""),   IFERROR(INDEX(素材!A:A, MATCH(K53, 素材!B:B, 0)), "") ) &amp; "]"</f>
        <v>[3,4,5]</v>
      </c>
      <c r="P53" s="63" t="str">
        <f aca="false">"[" &amp; _xlfn.TEXTJOIN(",", 1,   IF(ISNUMBER(MATCH(E53, 素材!B:B, 0)), F53, ""),   IF(ISNUMBER(MATCH(G53, 素材!B:B, 0)), H53, ""),   IF(ISNUMBER(MATCH(I53, 素材!B:B, 0)), J53, ""),   IF(ISNUMBER(MATCH(K53, 素材!B:B, 0)), L53, "") ) &amp; "]"</f>
        <v>[1,1,1]</v>
      </c>
      <c r="Q53" s="63" t="str">
        <f aca="false">"[" &amp; _xlfn.TEXTJOIN(",", 1,   IFERROR(INDEX(素材!A:A, MATCH(M53, 素材!B:B, 0)), "") ) &amp; "]"</f>
        <v>[1]</v>
      </c>
      <c r="R53" s="64" t="str">
        <f aca="false">"[" &amp; _xlfn.TEXTJOIN(",", 1, IF(ISNUMBER(MATCH(M53, 素材!B:B, 0)), N53, "") ) &amp; "]"</f>
        <v>[1]</v>
      </c>
      <c r="S53" s="45" t="n">
        <f aca="false">IFERROR(N53/(F53+H53+J53+L53),"-")</f>
        <v>0.333333333333333</v>
      </c>
    </row>
    <row r="54" customFormat="false" ht="13.8" hidden="false" customHeight="false" outlineLevel="0" collapsed="false">
      <c r="A54" s="50" t="n">
        <f aca="false">_xlfn.XLOOKUP(B54, ノード!B:B, ノード!A:A, "")</f>
        <v>10</v>
      </c>
      <c r="B54" s="50" t="s">
        <v>127</v>
      </c>
      <c r="C54" s="50" t="n">
        <v>2</v>
      </c>
      <c r="D54" s="50" t="n">
        <v>2000</v>
      </c>
      <c r="E54" s="50" t="s">
        <v>106</v>
      </c>
      <c r="F54" s="50" t="n">
        <v>2</v>
      </c>
      <c r="G54" s="50" t="s">
        <v>107</v>
      </c>
      <c r="H54" s="50" t="n">
        <v>2</v>
      </c>
      <c r="I54" s="50" t="s">
        <v>108</v>
      </c>
      <c r="J54" s="50" t="n">
        <v>2</v>
      </c>
      <c r="K54" s="50"/>
      <c r="L54" s="50"/>
      <c r="M54" s="50" t="s">
        <v>104</v>
      </c>
      <c r="N54" s="50" t="n">
        <v>2</v>
      </c>
      <c r="O54" s="63" t="str">
        <f aca="false">"[" &amp; _xlfn.TEXTJOIN(",", 1,   IFERROR(INDEX(素材!A:A, MATCH(E54, 素材!B:B, 0)), ""),   IFERROR(INDEX(素材!A:A, MATCH(G54, 素材!B:B, 0)), ""),   IFERROR(INDEX(素材!A:A, MATCH(I54, 素材!B:B, 0)), ""),   IFERROR(INDEX(素材!A:A, MATCH(K54, 素材!B:B, 0)), "") ) &amp; "]"</f>
        <v>[3,4,5]</v>
      </c>
      <c r="P54" s="63" t="str">
        <f aca="false">"[" &amp; _xlfn.TEXTJOIN(",", 1,   IF(ISNUMBER(MATCH(E54, 素材!B:B, 0)), F54, ""),   IF(ISNUMBER(MATCH(G54, 素材!B:B, 0)), H54, ""),   IF(ISNUMBER(MATCH(I54, 素材!B:B, 0)), J54, ""),   IF(ISNUMBER(MATCH(K54, 素材!B:B, 0)), L54, "") ) &amp; "]"</f>
        <v>[2,2,2]</v>
      </c>
      <c r="Q54" s="63" t="str">
        <f aca="false">"[" &amp; _xlfn.TEXTJOIN(",", 1,   IFERROR(INDEX(素材!A:A, MATCH(M54, 素材!B:B, 0)), "") ) &amp; "]"</f>
        <v>[1]</v>
      </c>
      <c r="R54" s="64" t="str">
        <f aca="false">"[" &amp; _xlfn.TEXTJOIN(",", 1, IF(ISNUMBER(MATCH(M54, 素材!B:B, 0)), N54, "") ) &amp; "]"</f>
        <v>[2]</v>
      </c>
      <c r="S54" s="45" t="n">
        <f aca="false">IFERROR(N54/(F54+H54+J54+L54),"-")</f>
        <v>0.333333333333333</v>
      </c>
    </row>
    <row r="55" customFormat="false" ht="13.8" hidden="false" customHeight="false" outlineLevel="0" collapsed="false">
      <c r="A55" s="50" t="n">
        <f aca="false">_xlfn.XLOOKUP(B55, ノード!B:B, ノード!A:A, "")</f>
        <v>10</v>
      </c>
      <c r="B55" s="50" t="s">
        <v>127</v>
      </c>
      <c r="C55" s="50" t="n">
        <v>3</v>
      </c>
      <c r="D55" s="50" t="n">
        <v>3000</v>
      </c>
      <c r="E55" s="50" t="s">
        <v>106</v>
      </c>
      <c r="F55" s="50" t="n">
        <v>3</v>
      </c>
      <c r="G55" s="50" t="s">
        <v>107</v>
      </c>
      <c r="H55" s="50" t="n">
        <v>3</v>
      </c>
      <c r="I55" s="50" t="s">
        <v>108</v>
      </c>
      <c r="J55" s="50" t="n">
        <v>3</v>
      </c>
      <c r="K55" s="50"/>
      <c r="L55" s="50"/>
      <c r="M55" s="50" t="s">
        <v>104</v>
      </c>
      <c r="N55" s="50" t="n">
        <v>3</v>
      </c>
      <c r="O55" s="63" t="str">
        <f aca="false">"[" &amp; _xlfn.TEXTJOIN(",", 1,   IFERROR(INDEX(素材!A:A, MATCH(E55, 素材!B:B, 0)), ""),   IFERROR(INDEX(素材!A:A, MATCH(G55, 素材!B:B, 0)), ""),   IFERROR(INDEX(素材!A:A, MATCH(I55, 素材!B:B, 0)), ""),   IFERROR(INDEX(素材!A:A, MATCH(K55, 素材!B:B, 0)), "") ) &amp; "]"</f>
        <v>[3,4,5]</v>
      </c>
      <c r="P55" s="63" t="str">
        <f aca="false">"[" &amp; _xlfn.TEXTJOIN(",", 1,   IF(ISNUMBER(MATCH(E55, 素材!B:B, 0)), F55, ""),   IF(ISNUMBER(MATCH(G55, 素材!B:B, 0)), H55, ""),   IF(ISNUMBER(MATCH(I55, 素材!B:B, 0)), J55, ""),   IF(ISNUMBER(MATCH(K55, 素材!B:B, 0)), L55, "") ) &amp; "]"</f>
        <v>[3,3,3]</v>
      </c>
      <c r="Q55" s="63" t="str">
        <f aca="false">"[" &amp; _xlfn.TEXTJOIN(",", 1,   IFERROR(INDEX(素材!A:A, MATCH(M55, 素材!B:B, 0)), "") ) &amp; "]"</f>
        <v>[1]</v>
      </c>
      <c r="R55" s="64" t="str">
        <f aca="false">"[" &amp; _xlfn.TEXTJOIN(",", 1, IF(ISNUMBER(MATCH(M55, 素材!B:B, 0)), N55, "") ) &amp; "]"</f>
        <v>[3]</v>
      </c>
      <c r="S55" s="45" t="n">
        <f aca="false">IFERROR(N55/(F55+H55+J55+L55),"-")</f>
        <v>0.333333333333333</v>
      </c>
    </row>
    <row r="56" customFormat="false" ht="13.8" hidden="false" customHeight="false" outlineLevel="0" collapsed="false">
      <c r="A56" s="50" t="n">
        <f aca="false">_xlfn.XLOOKUP(B56, ノード!B:B, ノード!A:A, "")</f>
        <v>10</v>
      </c>
      <c r="B56" s="50" t="s">
        <v>127</v>
      </c>
      <c r="C56" s="50" t="n">
        <v>4</v>
      </c>
      <c r="D56" s="50" t="n">
        <v>4000</v>
      </c>
      <c r="E56" s="50" t="s">
        <v>106</v>
      </c>
      <c r="F56" s="50" t="n">
        <v>4</v>
      </c>
      <c r="G56" s="50" t="s">
        <v>107</v>
      </c>
      <c r="H56" s="50" t="n">
        <v>4</v>
      </c>
      <c r="I56" s="50" t="s">
        <v>108</v>
      </c>
      <c r="J56" s="50" t="n">
        <v>4</v>
      </c>
      <c r="K56" s="50"/>
      <c r="L56" s="50"/>
      <c r="M56" s="50" t="s">
        <v>104</v>
      </c>
      <c r="N56" s="50" t="n">
        <v>4</v>
      </c>
      <c r="O56" s="63" t="str">
        <f aca="false">"[" &amp; _xlfn.TEXTJOIN(",", 1,   IFERROR(INDEX(素材!A:A, MATCH(E56, 素材!B:B, 0)), ""),   IFERROR(INDEX(素材!A:A, MATCH(G56, 素材!B:B, 0)), ""),   IFERROR(INDEX(素材!A:A, MATCH(I56, 素材!B:B, 0)), ""),   IFERROR(INDEX(素材!A:A, MATCH(K56, 素材!B:B, 0)), "") ) &amp; "]"</f>
        <v>[3,4,5]</v>
      </c>
      <c r="P56" s="63" t="str">
        <f aca="false">"[" &amp; _xlfn.TEXTJOIN(",", 1,   IF(ISNUMBER(MATCH(E56, 素材!B:B, 0)), F56, ""),   IF(ISNUMBER(MATCH(G56, 素材!B:B, 0)), H56, ""),   IF(ISNUMBER(MATCH(I56, 素材!B:B, 0)), J56, ""),   IF(ISNUMBER(MATCH(K56, 素材!B:B, 0)), L56, "") ) &amp; "]"</f>
        <v>[4,4,4]</v>
      </c>
      <c r="Q56" s="63" t="str">
        <f aca="false">"[" &amp; _xlfn.TEXTJOIN(",", 1,   IFERROR(INDEX(素材!A:A, MATCH(M56, 素材!B:B, 0)), "") ) &amp; "]"</f>
        <v>[1]</v>
      </c>
      <c r="R56" s="64" t="str">
        <f aca="false">"[" &amp; _xlfn.TEXTJOIN(",", 1, IF(ISNUMBER(MATCH(M56, 素材!B:B, 0)), N56, "") ) &amp; "]"</f>
        <v>[4]</v>
      </c>
      <c r="S56" s="45" t="n">
        <f aca="false">IFERROR(N56/(F56+H56+J56+L56),"-")</f>
        <v>0.333333333333333</v>
      </c>
    </row>
    <row r="57" customFormat="false" ht="13.8" hidden="false" customHeight="false" outlineLevel="0" collapsed="false">
      <c r="A57" s="50" t="n">
        <f aca="false">_xlfn.XLOOKUP(B57, ノード!B:B, ノード!A:A, "")</f>
        <v>10</v>
      </c>
      <c r="B57" s="50" t="s">
        <v>127</v>
      </c>
      <c r="C57" s="50" t="n">
        <v>5</v>
      </c>
      <c r="D57" s="50" t="n">
        <v>5000</v>
      </c>
      <c r="E57" s="50" t="s">
        <v>106</v>
      </c>
      <c r="F57" s="50" t="n">
        <v>5</v>
      </c>
      <c r="G57" s="50" t="s">
        <v>107</v>
      </c>
      <c r="H57" s="50" t="n">
        <v>5</v>
      </c>
      <c r="I57" s="50" t="s">
        <v>108</v>
      </c>
      <c r="J57" s="50" t="n">
        <v>5</v>
      </c>
      <c r="K57" s="50"/>
      <c r="L57" s="50"/>
      <c r="M57" s="50" t="s">
        <v>104</v>
      </c>
      <c r="N57" s="50" t="n">
        <v>5</v>
      </c>
      <c r="O57" s="63" t="str">
        <f aca="false">"[" &amp; _xlfn.TEXTJOIN(",", 1,   IFERROR(INDEX(素材!A:A, MATCH(E57, 素材!B:B, 0)), ""),   IFERROR(INDEX(素材!A:A, MATCH(G57, 素材!B:B, 0)), ""),   IFERROR(INDEX(素材!A:A, MATCH(I57, 素材!B:B, 0)), ""),   IFERROR(INDEX(素材!A:A, MATCH(K57, 素材!B:B, 0)), "") ) &amp; "]"</f>
        <v>[3,4,5]</v>
      </c>
      <c r="P57" s="63" t="str">
        <f aca="false">"[" &amp; _xlfn.TEXTJOIN(",", 1,   IF(ISNUMBER(MATCH(E57, 素材!B:B, 0)), F57, ""),   IF(ISNUMBER(MATCH(G57, 素材!B:B, 0)), H57, ""),   IF(ISNUMBER(MATCH(I57, 素材!B:B, 0)), J57, ""),   IF(ISNUMBER(MATCH(K57, 素材!B:B, 0)), L57, "") ) &amp; "]"</f>
        <v>[5,5,5]</v>
      </c>
      <c r="Q57" s="63" t="str">
        <f aca="false">"[" &amp; _xlfn.TEXTJOIN(",", 1,   IFERROR(INDEX(素材!A:A, MATCH(M57, 素材!B:B, 0)), "") ) &amp; "]"</f>
        <v>[1]</v>
      </c>
      <c r="R57" s="64" t="str">
        <f aca="false">"[" &amp; _xlfn.TEXTJOIN(",", 1, IF(ISNUMBER(MATCH(M57, 素材!B:B, 0)), N57, "") ) &amp; "]"</f>
        <v>[5]</v>
      </c>
      <c r="S57" s="45" t="n">
        <f aca="false">IFERROR(N57/(F57+H57+J57+L57),"-")</f>
        <v>0.333333333333333</v>
      </c>
    </row>
    <row r="58" customFormat="false" ht="13.8" hidden="false" customHeight="false" outlineLevel="0" collapsed="false">
      <c r="A58" s="50" t="n">
        <f aca="false">_xlfn.XLOOKUP(B58, ノード!B:B, ノード!A:A, "")</f>
        <v>10</v>
      </c>
      <c r="B58" s="50" t="s">
        <v>127</v>
      </c>
      <c r="C58" s="50" t="n">
        <v>6</v>
      </c>
      <c r="D58" s="50" t="n">
        <v>6000</v>
      </c>
      <c r="E58" s="50" t="s">
        <v>106</v>
      </c>
      <c r="F58" s="50" t="n">
        <v>6</v>
      </c>
      <c r="G58" s="50" t="s">
        <v>107</v>
      </c>
      <c r="H58" s="50" t="n">
        <v>6</v>
      </c>
      <c r="I58" s="50" t="s">
        <v>108</v>
      </c>
      <c r="J58" s="50" t="n">
        <v>6</v>
      </c>
      <c r="K58" s="50"/>
      <c r="L58" s="50"/>
      <c r="M58" s="50" t="s">
        <v>104</v>
      </c>
      <c r="N58" s="50" t="n">
        <v>6</v>
      </c>
      <c r="O58" s="63" t="str">
        <f aca="false">"[" &amp; _xlfn.TEXTJOIN(",", 1,   IFERROR(INDEX(素材!A:A, MATCH(E58, 素材!B:B, 0)), ""),   IFERROR(INDEX(素材!A:A, MATCH(G58, 素材!B:B, 0)), ""),   IFERROR(INDEX(素材!A:A, MATCH(I58, 素材!B:B, 0)), ""),   IFERROR(INDEX(素材!A:A, MATCH(K58, 素材!B:B, 0)), "") ) &amp; "]"</f>
        <v>[3,4,5]</v>
      </c>
      <c r="P58" s="63" t="str">
        <f aca="false">"[" &amp; _xlfn.TEXTJOIN(",", 1,   IF(ISNUMBER(MATCH(E58, 素材!B:B, 0)), F58, ""),   IF(ISNUMBER(MATCH(G58, 素材!B:B, 0)), H58, ""),   IF(ISNUMBER(MATCH(I58, 素材!B:B, 0)), J58, ""),   IF(ISNUMBER(MATCH(K58, 素材!B:B, 0)), L58, "") ) &amp; "]"</f>
        <v>[6,6,6]</v>
      </c>
      <c r="Q58" s="63" t="str">
        <f aca="false">"[" &amp; _xlfn.TEXTJOIN(",", 1,   IFERROR(INDEX(素材!A:A, MATCH(M58, 素材!B:B, 0)), "") ) &amp; "]"</f>
        <v>[1]</v>
      </c>
      <c r="R58" s="64" t="str">
        <f aca="false">"[" &amp; _xlfn.TEXTJOIN(",", 1, IF(ISNUMBER(MATCH(M58, 素材!B:B, 0)), N58, "") ) &amp; "]"</f>
        <v>[6]</v>
      </c>
      <c r="S58" s="45" t="n">
        <f aca="false">IFERROR(N58/(F58+H58+J58+L58),"-")</f>
        <v>0.333333333333333</v>
      </c>
    </row>
    <row r="59" customFormat="false" ht="13.8" hidden="false" customHeight="false" outlineLevel="0" collapsed="false">
      <c r="A59" s="50" t="n">
        <f aca="false">_xlfn.XLOOKUP(B59, ノード!B:B, ノード!A:A, "")</f>
        <v>10</v>
      </c>
      <c r="B59" s="50" t="s">
        <v>127</v>
      </c>
      <c r="C59" s="50" t="n">
        <v>7</v>
      </c>
      <c r="D59" s="50" t="n">
        <v>7000</v>
      </c>
      <c r="E59" s="50" t="s">
        <v>106</v>
      </c>
      <c r="F59" s="50" t="n">
        <v>7</v>
      </c>
      <c r="G59" s="50" t="s">
        <v>107</v>
      </c>
      <c r="H59" s="50" t="n">
        <v>7</v>
      </c>
      <c r="I59" s="50" t="s">
        <v>108</v>
      </c>
      <c r="J59" s="50" t="n">
        <v>7</v>
      </c>
      <c r="K59" s="50"/>
      <c r="L59" s="50"/>
      <c r="M59" s="50" t="s">
        <v>104</v>
      </c>
      <c r="N59" s="50" t="n">
        <v>7</v>
      </c>
      <c r="O59" s="63" t="str">
        <f aca="false">"[" &amp; _xlfn.TEXTJOIN(",", 1,   IFERROR(INDEX(素材!A:A, MATCH(E59, 素材!B:B, 0)), ""),   IFERROR(INDEX(素材!A:A, MATCH(G59, 素材!B:B, 0)), ""),   IFERROR(INDEX(素材!A:A, MATCH(I59, 素材!B:B, 0)), ""),   IFERROR(INDEX(素材!A:A, MATCH(K59, 素材!B:B, 0)), "") ) &amp; "]"</f>
        <v>[3,4,5]</v>
      </c>
      <c r="P59" s="63" t="str">
        <f aca="false">"[" &amp; _xlfn.TEXTJOIN(",", 1,   IF(ISNUMBER(MATCH(E59, 素材!B:B, 0)), F59, ""),   IF(ISNUMBER(MATCH(G59, 素材!B:B, 0)), H59, ""),   IF(ISNUMBER(MATCH(I59, 素材!B:B, 0)), J59, ""),   IF(ISNUMBER(MATCH(K59, 素材!B:B, 0)), L59, "") ) &amp; "]"</f>
        <v>[7,7,7]</v>
      </c>
      <c r="Q59" s="63" t="str">
        <f aca="false">"[" &amp; _xlfn.TEXTJOIN(",", 1,   IFERROR(INDEX(素材!A:A, MATCH(M59, 素材!B:B, 0)), "") ) &amp; "]"</f>
        <v>[1]</v>
      </c>
      <c r="R59" s="64" t="str">
        <f aca="false">"[" &amp; _xlfn.TEXTJOIN(",", 1, IF(ISNUMBER(MATCH(M59, 素材!B:B, 0)), N59, "") ) &amp; "]"</f>
        <v>[7]</v>
      </c>
      <c r="S59" s="45" t="n">
        <f aca="false">IFERROR(N59/(F59+H59+J59+L59),"-")</f>
        <v>0.333333333333333</v>
      </c>
    </row>
    <row r="60" customFormat="false" ht="13.8" hidden="false" customHeight="false" outlineLevel="0" collapsed="false">
      <c r="A60" s="50" t="n">
        <f aca="false">_xlfn.XLOOKUP(B60, ノード!B:B, ノード!A:A, "")</f>
        <v>10</v>
      </c>
      <c r="B60" s="50" t="s">
        <v>127</v>
      </c>
      <c r="C60" s="50" t="n">
        <v>8</v>
      </c>
      <c r="D60" s="50" t="n">
        <v>8000</v>
      </c>
      <c r="E60" s="50" t="s">
        <v>106</v>
      </c>
      <c r="F60" s="50" t="n">
        <v>8</v>
      </c>
      <c r="G60" s="50" t="s">
        <v>107</v>
      </c>
      <c r="H60" s="50" t="n">
        <v>8</v>
      </c>
      <c r="I60" s="50" t="s">
        <v>108</v>
      </c>
      <c r="J60" s="50" t="n">
        <v>8</v>
      </c>
      <c r="K60" s="50"/>
      <c r="L60" s="50"/>
      <c r="M60" s="50" t="s">
        <v>104</v>
      </c>
      <c r="N60" s="50" t="n">
        <v>8</v>
      </c>
      <c r="O60" s="63" t="str">
        <f aca="false">"[" &amp; _xlfn.TEXTJOIN(",", 1,   IFERROR(INDEX(素材!A:A, MATCH(E60, 素材!B:B, 0)), ""),   IFERROR(INDEX(素材!A:A, MATCH(G60, 素材!B:B, 0)), ""),   IFERROR(INDEX(素材!A:A, MATCH(I60, 素材!B:B, 0)), ""),   IFERROR(INDEX(素材!A:A, MATCH(K60, 素材!B:B, 0)), "") ) &amp; "]"</f>
        <v>[3,4,5]</v>
      </c>
      <c r="P60" s="63" t="str">
        <f aca="false">"[" &amp; _xlfn.TEXTJOIN(",", 1,   IF(ISNUMBER(MATCH(E60, 素材!B:B, 0)), F60, ""),   IF(ISNUMBER(MATCH(G60, 素材!B:B, 0)), H60, ""),   IF(ISNUMBER(MATCH(I60, 素材!B:B, 0)), J60, ""),   IF(ISNUMBER(MATCH(K60, 素材!B:B, 0)), L60, "") ) &amp; "]"</f>
        <v>[8,8,8]</v>
      </c>
      <c r="Q60" s="63" t="str">
        <f aca="false">"[" &amp; _xlfn.TEXTJOIN(",", 1,   IFERROR(INDEX(素材!A:A, MATCH(M60, 素材!B:B, 0)), "") ) &amp; "]"</f>
        <v>[1]</v>
      </c>
      <c r="R60" s="64" t="str">
        <f aca="false">"[" &amp; _xlfn.TEXTJOIN(",", 1, IF(ISNUMBER(MATCH(M60, 素材!B:B, 0)), N60, "") ) &amp; "]"</f>
        <v>[8]</v>
      </c>
      <c r="S60" s="45" t="n">
        <f aca="false">IFERROR(N60/(F60+H60+J60+L60),"-")</f>
        <v>0.333333333333333</v>
      </c>
    </row>
    <row r="61" customFormat="false" ht="13.8" hidden="false" customHeight="false" outlineLevel="0" collapsed="false">
      <c r="A61" s="50" t="n">
        <f aca="false">_xlfn.XLOOKUP(B61, ノード!B:B, ノード!A:A, "")</f>
        <v>10</v>
      </c>
      <c r="B61" s="50" t="s">
        <v>127</v>
      </c>
      <c r="C61" s="50" t="n">
        <v>9</v>
      </c>
      <c r="D61" s="50" t="n">
        <v>9000</v>
      </c>
      <c r="E61" s="50" t="s">
        <v>106</v>
      </c>
      <c r="F61" s="50" t="n">
        <v>9</v>
      </c>
      <c r="G61" s="50" t="s">
        <v>107</v>
      </c>
      <c r="H61" s="50" t="n">
        <v>9</v>
      </c>
      <c r="I61" s="50" t="s">
        <v>108</v>
      </c>
      <c r="J61" s="50" t="n">
        <v>9</v>
      </c>
      <c r="K61" s="50"/>
      <c r="L61" s="50"/>
      <c r="M61" s="50" t="s">
        <v>104</v>
      </c>
      <c r="N61" s="50" t="n">
        <v>9</v>
      </c>
      <c r="O61" s="63" t="str">
        <f aca="false">"[" &amp; _xlfn.TEXTJOIN(",", 1,   IFERROR(INDEX(素材!A:A, MATCH(E61, 素材!B:B, 0)), ""),   IFERROR(INDEX(素材!A:A, MATCH(G61, 素材!B:B, 0)), ""),   IFERROR(INDEX(素材!A:A, MATCH(I61, 素材!B:B, 0)), ""),   IFERROR(INDEX(素材!A:A, MATCH(K61, 素材!B:B, 0)), "") ) &amp; "]"</f>
        <v>[3,4,5]</v>
      </c>
      <c r="P61" s="63" t="str">
        <f aca="false">"[" &amp; _xlfn.TEXTJOIN(",", 1,   IF(ISNUMBER(MATCH(E61, 素材!B:B, 0)), F61, ""),   IF(ISNUMBER(MATCH(G61, 素材!B:B, 0)), H61, ""),   IF(ISNUMBER(MATCH(I61, 素材!B:B, 0)), J61, ""),   IF(ISNUMBER(MATCH(K61, 素材!B:B, 0)), L61, "") ) &amp; "]"</f>
        <v>[9,9,9]</v>
      </c>
      <c r="Q61" s="63" t="str">
        <f aca="false">"[" &amp; _xlfn.TEXTJOIN(",", 1,   IFERROR(INDEX(素材!A:A, MATCH(M61, 素材!B:B, 0)), "") ) &amp; "]"</f>
        <v>[1]</v>
      </c>
      <c r="R61" s="64" t="str">
        <f aca="false">"[" &amp; _xlfn.TEXTJOIN(",", 1, IF(ISNUMBER(MATCH(M61, 素材!B:B, 0)), N61, "") ) &amp; "]"</f>
        <v>[9]</v>
      </c>
      <c r="S61" s="45" t="n">
        <f aca="false">IFERROR(N61/(F61+H61+J61+L61),"-")</f>
        <v>0.333333333333333</v>
      </c>
    </row>
    <row r="62" customFormat="false" ht="13.8" hidden="false" customHeight="false" outlineLevel="0" collapsed="false">
      <c r="A62" s="50" t="n">
        <f aca="false">_xlfn.XLOOKUP(B62, ノード!B:B, ノード!A:A, "")</f>
        <v>10</v>
      </c>
      <c r="B62" s="50" t="s">
        <v>127</v>
      </c>
      <c r="C62" s="50" t="n">
        <v>10</v>
      </c>
      <c r="D62" s="50" t="n">
        <v>10000</v>
      </c>
      <c r="E62" s="50" t="s">
        <v>106</v>
      </c>
      <c r="F62" s="50" t="n">
        <v>10</v>
      </c>
      <c r="G62" s="50" t="s">
        <v>107</v>
      </c>
      <c r="H62" s="50" t="n">
        <v>10</v>
      </c>
      <c r="I62" s="50" t="s">
        <v>108</v>
      </c>
      <c r="J62" s="50" t="n">
        <v>10</v>
      </c>
      <c r="K62" s="50"/>
      <c r="L62" s="50"/>
      <c r="M62" s="50" t="s">
        <v>104</v>
      </c>
      <c r="N62" s="50" t="n">
        <v>10</v>
      </c>
      <c r="O62" s="63" t="str">
        <f aca="false">"[" &amp; _xlfn.TEXTJOIN(",", 1,   IFERROR(INDEX(素材!A:A, MATCH(E62, 素材!B:B, 0)), ""),   IFERROR(INDEX(素材!A:A, MATCH(G62, 素材!B:B, 0)), ""),   IFERROR(INDEX(素材!A:A, MATCH(I62, 素材!B:B, 0)), ""),   IFERROR(INDEX(素材!A:A, MATCH(K62, 素材!B:B, 0)), "") ) &amp; "]"</f>
        <v>[3,4,5]</v>
      </c>
      <c r="P62" s="63" t="str">
        <f aca="false">"[" &amp; _xlfn.TEXTJOIN(",", 1,   IF(ISNUMBER(MATCH(E62, 素材!B:B, 0)), F62, ""),   IF(ISNUMBER(MATCH(G62, 素材!B:B, 0)), H62, ""),   IF(ISNUMBER(MATCH(I62, 素材!B:B, 0)), J62, ""),   IF(ISNUMBER(MATCH(K62, 素材!B:B, 0)), L62, "") ) &amp; "]"</f>
        <v>[10,10,10]</v>
      </c>
      <c r="Q62" s="63" t="str">
        <f aca="false">"[" &amp; _xlfn.TEXTJOIN(",", 1,   IFERROR(INDEX(素材!A:A, MATCH(M62, 素材!B:B, 0)), "") ) &amp; "]"</f>
        <v>[1]</v>
      </c>
      <c r="R62" s="64" t="str">
        <f aca="false">"[" &amp; _xlfn.TEXTJOIN(",", 1, IF(ISNUMBER(MATCH(M62, 素材!B:B, 0)), N62, "") ) &amp; "]"</f>
        <v>[10]</v>
      </c>
      <c r="S62" s="45" t="n">
        <f aca="false">IFERROR(N62/(F62+H62+J62+L62),"-")</f>
        <v>0.333333333333333</v>
      </c>
    </row>
    <row r="63" customFormat="false" ht="13.8" hidden="false" customHeight="false" outlineLevel="0" collapsed="false">
      <c r="A63" s="50" t="n">
        <f aca="false">_xlfn.XLOOKUP(B63, ノード!B:B, ノード!A:A, "")</f>
        <v>9</v>
      </c>
      <c r="B63" s="50" t="s">
        <v>126</v>
      </c>
      <c r="C63" s="50" t="n">
        <v>2</v>
      </c>
      <c r="D63" s="50" t="n">
        <v>2</v>
      </c>
      <c r="E63" s="50" t="s">
        <v>108</v>
      </c>
      <c r="F63" s="50" t="n">
        <v>30</v>
      </c>
      <c r="G63" s="50"/>
      <c r="H63" s="50"/>
      <c r="I63" s="50"/>
      <c r="J63" s="50"/>
      <c r="K63" s="50"/>
      <c r="L63" s="50"/>
      <c r="M63" s="50" t="s">
        <v>104</v>
      </c>
      <c r="N63" s="50" t="n">
        <v>30</v>
      </c>
      <c r="O63" s="63" t="str">
        <f aca="false">"[" &amp; _xlfn.TEXTJOIN(",", 1,   IFERROR(INDEX(素材!A:A, MATCH(E63, 素材!B:B, 0)), ""),   IFERROR(INDEX(素材!A:A, MATCH(G63, 素材!B:B, 0)), ""),   IFERROR(INDEX(素材!A:A, MATCH(I63, 素材!B:B, 0)), ""),   IFERROR(INDEX(素材!A:A, MATCH(K63, 素材!B:B, 0)), "") ) &amp; "]"</f>
        <v>[5]</v>
      </c>
      <c r="P63" s="63" t="str">
        <f aca="false">"[" &amp; _xlfn.TEXTJOIN(",", 1,   IF(ISNUMBER(MATCH(E63, 素材!B:B, 0)), F63, ""),   IF(ISNUMBER(MATCH(G63, 素材!B:B, 0)), H63, ""),   IF(ISNUMBER(MATCH(I63, 素材!B:B, 0)), J63, ""),   IF(ISNUMBER(MATCH(K63, 素材!B:B, 0)), L63, "") ) &amp; "]"</f>
        <v>[30]</v>
      </c>
      <c r="Q63" s="63" t="str">
        <f aca="false">"[" &amp; _xlfn.TEXTJOIN(",", 1,   IFERROR(INDEX(素材!A:A, MATCH(M63, 素材!B:B, 0)), "") ) &amp; "]"</f>
        <v>[1]</v>
      </c>
      <c r="R63" s="64" t="str">
        <f aca="false">"[" &amp; _xlfn.TEXTJOIN(",", 1, IF(ISNUMBER(MATCH(M63, 素材!B:B, 0)), N63, "") ) &amp; "]"</f>
        <v>[30]</v>
      </c>
      <c r="S63" s="45" t="n">
        <f aca="false">IFERROR(N63/(F63+H63+J63+L63),"-")</f>
        <v>1</v>
      </c>
    </row>
    <row r="64" customFormat="false" ht="13.8" hidden="false" customHeight="false" outlineLevel="0" collapsed="false">
      <c r="A64" s="46" t="s">
        <v>111</v>
      </c>
      <c r="B64" s="46"/>
      <c r="C64" s="46"/>
      <c r="D64" s="46"/>
      <c r="E64" s="46"/>
      <c r="F64" s="46"/>
      <c r="G64" s="46"/>
      <c r="H64" s="46"/>
      <c r="I64" s="46"/>
      <c r="J64" s="46"/>
      <c r="K64" s="46"/>
      <c r="L64" s="46"/>
      <c r="M64" s="46"/>
      <c r="N64" s="46"/>
      <c r="O64" s="46"/>
      <c r="P64" s="46"/>
      <c r="Q64" s="46"/>
      <c r="R64" s="46"/>
    </row>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c r="A69" s="59" t="s">
        <v>112</v>
      </c>
    </row>
    <row r="70" customFormat="false" ht="13.8" hidden="false" customHeight="false" outlineLevel="0" collapsed="false">
      <c r="A70" s="44" t="s">
        <v>132</v>
      </c>
    </row>
  </sheetData>
  <dataValidations count="2">
    <dataValidation allowBlank="true" errorStyle="stop" operator="between" showDropDown="false" showErrorMessage="true" showInputMessage="true" sqref="B6:B63" type="list">
      <formula1>ノード!$B$6:$B$210</formula1>
      <formula2>0</formula2>
    </dataValidation>
    <dataValidation allowBlank="true" errorStyle="stop" operator="between" showDropDown="false" showErrorMessage="true" showInputMessage="true" sqref="E6:E63 G6:G63 I6:I63 K6:K63 M6:M63" type="list">
      <formula1>素材!$B$6:$B$108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4" activeCellId="0" sqref="C34"/>
    </sheetView>
  </sheetViews>
  <sheetFormatPr defaultColWidth="8.2734375" defaultRowHeight="12.75" customHeight="false" zeroHeight="false" outlineLevelRow="0" outlineLevelCol="0"/>
  <cols>
    <col collapsed="false" customWidth="true" hidden="false" outlineLevel="0" max="1" min="1" style="44" width="7.09"/>
    <col collapsed="false" customWidth="true" hidden="false" outlineLevel="0" max="2" min="2" style="44" width="11.36"/>
    <col collapsed="false" customWidth="true" hidden="false" outlineLevel="0" max="3" min="3" style="44" width="73.18"/>
    <col collapsed="false" customWidth="true" hidden="false" outlineLevel="0" max="4" min="4" style="44" width="18.2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16</v>
      </c>
      <c r="B4" s="47" t="s">
        <v>155</v>
      </c>
      <c r="C4" s="47" t="s">
        <v>156</v>
      </c>
      <c r="D4" s="47" t="s">
        <v>157</v>
      </c>
    </row>
    <row r="5" customFormat="false" ht="12.75" hidden="false" customHeight="false" outlineLevel="0" collapsed="false">
      <c r="A5" s="49" t="s">
        <v>158</v>
      </c>
      <c r="B5" s="49" t="s">
        <v>159</v>
      </c>
      <c r="C5" s="49" t="s">
        <v>160</v>
      </c>
      <c r="D5" s="49" t="s">
        <v>161</v>
      </c>
    </row>
    <row r="6" customFormat="false" ht="12.75" hidden="false" customHeight="false" outlineLevel="0" collapsed="false">
      <c r="A6" s="50" t="n">
        <v>1</v>
      </c>
      <c r="B6" s="50" t="n">
        <v>0</v>
      </c>
      <c r="C6" s="50" t="s">
        <v>162</v>
      </c>
      <c r="D6" s="50" t="n">
        <v>1</v>
      </c>
    </row>
    <row r="7" customFormat="false" ht="12.75" hidden="false" customHeight="false" outlineLevel="0" collapsed="false">
      <c r="A7" s="50" t="n">
        <v>1</v>
      </c>
      <c r="B7" s="50" t="n">
        <v>1</v>
      </c>
      <c r="C7" s="50" t="s">
        <v>163</v>
      </c>
      <c r="D7" s="50" t="n">
        <v>2</v>
      </c>
    </row>
    <row r="8" customFormat="false" ht="12.75" hidden="false" customHeight="false" outlineLevel="0" collapsed="false">
      <c r="A8" s="50" t="n">
        <v>1</v>
      </c>
      <c r="B8" s="50" t="n">
        <v>2</v>
      </c>
      <c r="C8" s="50" t="s">
        <v>164</v>
      </c>
      <c r="D8" s="50" t="n">
        <v>3</v>
      </c>
    </row>
    <row r="9" customFormat="false" ht="21.35" hidden="false" customHeight="false" outlineLevel="0" collapsed="false">
      <c r="A9" s="50" t="n">
        <v>1</v>
      </c>
      <c r="B9" s="50" t="n">
        <v>3</v>
      </c>
      <c r="C9" s="65" t="s">
        <v>165</v>
      </c>
      <c r="D9" s="50" t="n">
        <v>4</v>
      </c>
    </row>
    <row r="10" customFormat="false" ht="12.75" hidden="false" customHeight="false" outlineLevel="0" collapsed="false">
      <c r="A10" s="50" t="n">
        <v>1</v>
      </c>
      <c r="B10" s="50" t="n">
        <v>4</v>
      </c>
      <c r="C10" s="50" t="s">
        <v>166</v>
      </c>
      <c r="D10" s="50" t="s">
        <v>167</v>
      </c>
    </row>
    <row r="11" customFormat="false" ht="12.75" hidden="false" customHeight="false" outlineLevel="0" collapsed="false">
      <c r="A11" s="50" t="n">
        <v>1</v>
      </c>
      <c r="B11" s="50" t="n">
        <v>5</v>
      </c>
      <c r="C11" s="50" t="s">
        <v>168</v>
      </c>
      <c r="D11" s="50" t="s">
        <v>167</v>
      </c>
    </row>
    <row r="12" customFormat="false" ht="12.75" hidden="false" customHeight="false" outlineLevel="0" collapsed="false">
      <c r="A12" s="50" t="n">
        <v>1</v>
      </c>
      <c r="B12" s="50" t="n">
        <v>6</v>
      </c>
      <c r="C12" s="50" t="s">
        <v>169</v>
      </c>
      <c r="D12" s="50" t="n">
        <v>5</v>
      </c>
    </row>
    <row r="13" customFormat="false" ht="12.75" hidden="false" customHeight="false" outlineLevel="0" collapsed="false">
      <c r="A13" s="50" t="n">
        <v>1</v>
      </c>
      <c r="B13" s="50" t="n">
        <v>7</v>
      </c>
      <c r="C13" s="50" t="s">
        <v>170</v>
      </c>
      <c r="D13" s="50" t="s">
        <v>167</v>
      </c>
    </row>
    <row r="14" customFormat="false" ht="12.75" hidden="false" customHeight="false" outlineLevel="0" collapsed="false">
      <c r="A14" s="50" t="n">
        <v>2</v>
      </c>
      <c r="B14" s="50" t="n">
        <v>1</v>
      </c>
      <c r="C14" s="50" t="s">
        <v>171</v>
      </c>
      <c r="D14" s="50" t="n">
        <v>6</v>
      </c>
    </row>
    <row r="15" customFormat="false" ht="12.75" hidden="false" customHeight="false" outlineLevel="0" collapsed="false">
      <c r="A15" s="46" t="s">
        <v>111</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112</v>
      </c>
    </row>
    <row r="22" customFormat="false" ht="13.8" hidden="false" customHeight="false" outlineLevel="0" collapsed="false">
      <c r="A22" s="44" t="s">
        <v>172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A3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33" activeCellId="0" sqref="A33"/>
    </sheetView>
  </sheetViews>
  <sheetFormatPr defaultColWidth="11.640625" defaultRowHeight="13.8" customHeight="false" zeroHeight="false" outlineLevelRow="0" outlineLevelCol="0"/>
  <cols>
    <col collapsed="false" customWidth="true" hidden="false" outlineLevel="0" max="1" min="1" style="0" width="99.74"/>
  </cols>
  <sheetData>
    <row r="3" customFormat="false" ht="13.8" hidden="false" customHeight="false" outlineLevel="0" collapsed="false">
      <c r="A3" s="66" t="s">
        <v>173</v>
      </c>
    </row>
    <row r="4" customFormat="false" ht="13.8" hidden="false" customHeight="false" outlineLevel="0" collapsed="false">
      <c r="A4" s="66" t="s">
        <v>174</v>
      </c>
    </row>
    <row r="5" customFormat="false" ht="13.8" hidden="false" customHeight="false" outlineLevel="0" collapsed="false">
      <c r="A5" s="66" t="s">
        <v>175</v>
      </c>
    </row>
    <row r="6" customFormat="false" ht="13.8" hidden="false" customHeight="false" outlineLevel="0" collapsed="false">
      <c r="A6" s="66" t="s">
        <v>176</v>
      </c>
    </row>
    <row r="7" customFormat="false" ht="13.8" hidden="false" customHeight="false" outlineLevel="0" collapsed="false">
      <c r="A7" s="66" t="s">
        <v>177</v>
      </c>
    </row>
    <row r="8" customFormat="false" ht="13.8" hidden="false" customHeight="false" outlineLevel="0" collapsed="false">
      <c r="A8" s="66" t="s">
        <v>178</v>
      </c>
    </row>
    <row r="9" customFormat="false" ht="13.8" hidden="false" customHeight="false" outlineLevel="0" collapsed="false">
      <c r="A9" s="66" t="s">
        <v>179</v>
      </c>
    </row>
    <row r="10" customFormat="false" ht="13.8" hidden="false" customHeight="false" outlineLevel="0" collapsed="false">
      <c r="A10" s="66" t="s">
        <v>180</v>
      </c>
    </row>
    <row r="11" customFormat="false" ht="13.8" hidden="false" customHeight="false" outlineLevel="0" collapsed="false">
      <c r="A11" s="66" t="s">
        <v>181</v>
      </c>
    </row>
    <row r="12" customFormat="false" ht="13.8" hidden="false" customHeight="false" outlineLevel="0" collapsed="false">
      <c r="A12" s="66" t="s">
        <v>182</v>
      </c>
    </row>
    <row r="13" customFormat="false" ht="13.8" hidden="false" customHeight="false" outlineLevel="0" collapsed="false">
      <c r="A13" s="66" t="s">
        <v>183</v>
      </c>
    </row>
    <row r="15" customFormat="false" ht="13.8" hidden="false" customHeight="false" outlineLevel="0" collapsed="false">
      <c r="A15" s="67" t="s">
        <v>184</v>
      </c>
    </row>
    <row r="16" customFormat="false" ht="13.8" hidden="false" customHeight="false" outlineLevel="0" collapsed="false">
      <c r="A16" s="66" t="s">
        <v>185</v>
      </c>
    </row>
    <row r="17" customFormat="false" ht="13.8" hidden="false" customHeight="false" outlineLevel="0" collapsed="false">
      <c r="A17" s="67" t="s">
        <v>186</v>
      </c>
    </row>
    <row r="18" customFormat="false" ht="13.8" hidden="false" customHeight="false" outlineLevel="0" collapsed="false">
      <c r="A18" s="66" t="s">
        <v>187</v>
      </c>
    </row>
    <row r="19" customFormat="false" ht="13.8" hidden="false" customHeight="false" outlineLevel="0" collapsed="false">
      <c r="A19" s="66" t="s">
        <v>188</v>
      </c>
    </row>
    <row r="20" customFormat="false" ht="13.8" hidden="false" customHeight="false" outlineLevel="0" collapsed="false">
      <c r="A20" s="67" t="s">
        <v>189</v>
      </c>
    </row>
    <row r="21" customFormat="false" ht="13.8" hidden="false" customHeight="false" outlineLevel="0" collapsed="false">
      <c r="A21" s="66" t="s">
        <v>190</v>
      </c>
    </row>
    <row r="22" customFormat="false" ht="13.8" hidden="false" customHeight="false" outlineLevel="0" collapsed="false">
      <c r="A22" s="66" t="s">
        <v>191</v>
      </c>
    </row>
    <row r="23" customFormat="false" ht="13.8" hidden="false" customHeight="false" outlineLevel="0" collapsed="false">
      <c r="A23" s="67" t="s">
        <v>192</v>
      </c>
    </row>
    <row r="24" customFormat="false" ht="13.8" hidden="false" customHeight="false" outlineLevel="0" collapsed="false">
      <c r="A24" s="66" t="s">
        <v>193</v>
      </c>
    </row>
    <row r="25" customFormat="false" ht="13.8" hidden="false" customHeight="false" outlineLevel="0" collapsed="false">
      <c r="A25" s="67" t="s">
        <v>194</v>
      </c>
    </row>
    <row r="26" customFormat="false" ht="13.8" hidden="false" customHeight="false" outlineLevel="0" collapsed="false">
      <c r="A26" s="66" t="s">
        <v>195</v>
      </c>
    </row>
    <row r="27" customFormat="false" ht="13.8" hidden="false" customHeight="false" outlineLevel="0" collapsed="false">
      <c r="A27" s="66" t="s">
        <v>196</v>
      </c>
    </row>
    <row r="28" customFormat="false" ht="13.8" hidden="false" customHeight="false" outlineLevel="0" collapsed="false">
      <c r="A28" s="66" t="s">
        <v>197</v>
      </c>
    </row>
    <row r="29" customFormat="false" ht="13.8" hidden="false" customHeight="false" outlineLevel="0" collapsed="false">
      <c r="A29" s="67" t="s">
        <v>198</v>
      </c>
    </row>
    <row r="30" customFormat="false" ht="13.8" hidden="false" customHeight="false" outlineLevel="0" collapsed="false">
      <c r="A30" s="66" t="s">
        <v>199</v>
      </c>
    </row>
    <row r="31" customFormat="false" ht="13.8" hidden="false" customHeight="false" outlineLevel="0" collapsed="false">
      <c r="A31" s="66" t="s">
        <v>200</v>
      </c>
    </row>
    <row r="32" customFormat="false" ht="13.8" hidden="false" customHeight="false" outlineLevel="0" collapsed="false">
      <c r="A32" s="68"/>
    </row>
    <row r="33" customFormat="false" ht="13.8" hidden="false" customHeight="false" outlineLevel="0" collapsed="false">
      <c r="A33" s="69" t="s">
        <v>201</v>
      </c>
    </row>
    <row r="34" customFormat="false" ht="13.8" hidden="false" customHeight="false" outlineLevel="0" collapsed="false">
      <c r="A34" s="66" t="s">
        <v>202</v>
      </c>
    </row>
    <row r="35" customFormat="false" ht="23.9" hidden="false" customHeight="false" outlineLevel="0" collapsed="false">
      <c r="A35" s="66" t="s">
        <v>203</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Roman,標準"&amp;12&amp;Kffffff&amp;A</oddHeader>
    <oddFooter>&amp;C&amp;"Times New Roman,標準"&amp;12&amp;Kffffffページ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3:T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3.8" customHeight="false" zeroHeight="false" outlineLevelRow="0" outlineLevelCol="0"/>
  <cols>
    <col collapsed="false" customWidth="true" hidden="false" outlineLevel="0" max="2" min="1" style="44" width="7.09"/>
    <col collapsed="false" customWidth="true" hidden="false" outlineLevel="0" max="3" min="3" style="44" width="26.09"/>
    <col collapsed="false" customWidth="true" hidden="false" outlineLevel="0" max="4" min="4" style="44" width="53.64"/>
    <col collapsed="false" customWidth="true" hidden="false" outlineLevel="0" max="5" min="5" style="44" width="49.55"/>
    <col collapsed="false" customWidth="true" hidden="false" outlineLevel="0" max="7" min="6" style="44" width="11.18"/>
    <col collapsed="false" customWidth="true" hidden="false" outlineLevel="0" max="8" min="8" style="70" width="10.36"/>
    <col collapsed="false" customWidth="true" hidden="false" outlineLevel="0" max="9" min="9" style="44" width="14.36"/>
    <col collapsed="false" customWidth="true" hidden="false" outlineLevel="0" max="11" min="10" style="44" width="9.45"/>
    <col collapsed="false" customWidth="true" hidden="false" outlineLevel="0" max="12" min="12" style="44" width="24.18"/>
    <col collapsed="false" customWidth="true" hidden="false" outlineLevel="0" max="13" min="13" style="44" width="7.82"/>
    <col collapsed="false" customWidth="true" hidden="false" outlineLevel="0" max="14" min="14" style="44" width="7.27"/>
    <col collapsed="false" customWidth="true" hidden="false" outlineLevel="0" max="15" min="15" style="44" width="18.27"/>
    <col collapsed="false" customWidth="true" hidden="false" outlineLevel="0" max="16" min="16" style="70" width="13"/>
    <col collapsed="false" customWidth="true" hidden="false" outlineLevel="0" max="18" min="17" style="44" width="12.91"/>
    <col collapsed="false" customWidth="true" hidden="false" outlineLevel="0" max="20" min="19" style="70" width="12.91"/>
    <col collapsed="false" customWidth="true" hidden="false" outlineLevel="0" max="21" min="21" style="70" width="16.36"/>
  </cols>
  <sheetData>
    <row r="3" customFormat="false" ht="13.8" hidden="false" customHeight="false" outlineLevel="0" collapsed="false">
      <c r="A3" s="46" t="s">
        <v>92</v>
      </c>
      <c r="B3" s="46"/>
      <c r="C3" s="46"/>
      <c r="D3" s="46"/>
      <c r="E3" s="46"/>
      <c r="F3" s="46"/>
      <c r="G3" s="46"/>
      <c r="H3" s="46"/>
      <c r="I3" s="46"/>
      <c r="J3" s="46"/>
      <c r="K3" s="46"/>
      <c r="L3" s="46"/>
      <c r="M3" s="46"/>
      <c r="N3" s="46"/>
      <c r="O3" s="46"/>
      <c r="P3" s="46"/>
      <c r="Q3" s="46"/>
      <c r="R3" s="46"/>
      <c r="S3" s="46"/>
      <c r="T3" s="46"/>
    </row>
    <row r="4" customFormat="false" ht="13.8" hidden="false" customHeight="false" outlineLevel="0" collapsed="false">
      <c r="A4" s="47" t="s">
        <v>16</v>
      </c>
      <c r="B4" s="47" t="s">
        <v>155</v>
      </c>
      <c r="C4" s="47" t="s">
        <v>204</v>
      </c>
      <c r="D4" s="47" t="s">
        <v>156</v>
      </c>
      <c r="E4" s="47" t="s">
        <v>205</v>
      </c>
      <c r="F4" s="47" t="s">
        <v>206</v>
      </c>
      <c r="G4" s="71" t="s">
        <v>207</v>
      </c>
      <c r="H4" s="72" t="s">
        <v>208</v>
      </c>
      <c r="I4" s="73" t="s">
        <v>209</v>
      </c>
      <c r="J4" s="73" t="s">
        <v>210</v>
      </c>
      <c r="K4" s="73" t="s">
        <v>210</v>
      </c>
      <c r="L4" s="73" t="s">
        <v>21</v>
      </c>
      <c r="M4" s="47" t="s">
        <v>211</v>
      </c>
      <c r="N4" s="47" t="s">
        <v>212</v>
      </c>
      <c r="O4" s="73" t="s">
        <v>213</v>
      </c>
      <c r="P4" s="73" t="s">
        <v>214</v>
      </c>
      <c r="Q4" s="61" t="s">
        <v>21</v>
      </c>
      <c r="R4" s="61" t="s">
        <v>209</v>
      </c>
      <c r="S4" s="61" t="s">
        <v>213</v>
      </c>
      <c r="T4" s="61" t="s">
        <v>214</v>
      </c>
    </row>
    <row r="5" customFormat="false" ht="13.8" hidden="false" customHeight="false" outlineLevel="0" collapsed="false">
      <c r="A5" s="49" t="s">
        <v>158</v>
      </c>
      <c r="B5" s="49" t="s">
        <v>159</v>
      </c>
      <c r="C5" s="49" t="s">
        <v>215</v>
      </c>
      <c r="D5" s="49" t="s">
        <v>160</v>
      </c>
      <c r="E5" s="49" t="s">
        <v>216</v>
      </c>
      <c r="F5" s="49" t="s">
        <v>217</v>
      </c>
      <c r="G5" s="49"/>
      <c r="H5" s="49" t="s">
        <v>218</v>
      </c>
      <c r="I5" s="49"/>
      <c r="J5" s="49"/>
      <c r="K5" s="49"/>
      <c r="L5" s="49"/>
      <c r="M5" s="49" t="s">
        <v>219</v>
      </c>
      <c r="N5" s="49" t="s">
        <v>149</v>
      </c>
      <c r="O5" s="49"/>
      <c r="P5" s="49"/>
      <c r="Q5" s="49" t="s">
        <v>220</v>
      </c>
      <c r="R5" s="49" t="s">
        <v>221</v>
      </c>
      <c r="S5" s="49" t="s">
        <v>222</v>
      </c>
      <c r="T5" s="49" t="s">
        <v>223</v>
      </c>
    </row>
    <row r="6" customFormat="false" ht="54.7" hidden="false" customHeight="false" outlineLevel="0" collapsed="false">
      <c r="A6" s="50" t="n">
        <v>1</v>
      </c>
      <c r="B6" s="50" t="n">
        <v>1</v>
      </c>
      <c r="C6" s="74" t="s">
        <v>224</v>
      </c>
      <c r="D6" s="75" t="s">
        <v>225</v>
      </c>
      <c r="E6" s="75" t="s">
        <v>226</v>
      </c>
      <c r="F6" s="50" t="s">
        <v>167</v>
      </c>
      <c r="G6" s="50" t="s">
        <v>227</v>
      </c>
      <c r="H6" s="50" t="n">
        <f aca="true">OFFSET(依頼主!$A$1,MATCH(G6,依頼主!B:B,0)-1,0)</f>
        <v>12</v>
      </c>
      <c r="I6" s="50" t="s">
        <v>120</v>
      </c>
      <c r="J6" s="50"/>
      <c r="K6" s="50"/>
      <c r="L6" s="50" t="s">
        <v>228</v>
      </c>
      <c r="M6" s="50" t="n">
        <v>1</v>
      </c>
      <c r="N6" s="50" t="s">
        <v>167</v>
      </c>
      <c r="O6" s="50" t="s">
        <v>229</v>
      </c>
      <c r="P6" s="50" t="s">
        <v>229</v>
      </c>
      <c r="Q6" s="50" t="n">
        <f aca="true">OFFSET(依頼種別!$A$1, MATCH(L6,依頼種別!B:B,0)-1,0)</f>
        <v>9</v>
      </c>
      <c r="R6" s="76" t="str">
        <f aca="false">"[" &amp; _xlfn.TEXTJOIN(",", 1, IFERROR(INDEX(ノード!A:A, MATCH(I6, ノード!B:B, 0)), ""), IFERROR(INDEX(ノード!A:A, MATCH(J6, ノード!B:B, 0)), ""), IFERROR(INDEX(ノード!A:A, MATCH(K6, ノード!B:B, 0)), "") ) &amp; "]"</f>
        <v>[3]</v>
      </c>
      <c r="S6" s="50" t="n">
        <f aca="false">_xlfn.XLOOKUP(O6, 'バフ、デバフ'!B:B, 'バフ、デバフ'!A:A, "")</f>
        <v>1</v>
      </c>
      <c r="T6" s="50" t="n">
        <f aca="false">_xlfn.XLOOKUP(P6, 'バフ、デバフ'!B:B, 'バフ、デバフ'!A:A, "")</f>
        <v>1</v>
      </c>
    </row>
    <row r="7" customFormat="false" ht="54.7" hidden="false" customHeight="false" outlineLevel="0" collapsed="false">
      <c r="A7" s="50" t="n">
        <v>1</v>
      </c>
      <c r="B7" s="50" t="n">
        <v>1</v>
      </c>
      <c r="C7" s="74" t="s">
        <v>230</v>
      </c>
      <c r="D7" s="75" t="s">
        <v>231</v>
      </c>
      <c r="E7" s="75" t="s">
        <v>232</v>
      </c>
      <c r="F7" s="50" t="s">
        <v>167</v>
      </c>
      <c r="G7" s="50" t="s">
        <v>233</v>
      </c>
      <c r="H7" s="50" t="n">
        <f aca="true">OFFSET(依頼主!$A$1,MATCH(G7,依頼主!B:B,0)-1,0)</f>
        <v>3</v>
      </c>
      <c r="I7" s="50" t="s">
        <v>121</v>
      </c>
      <c r="J7" s="50"/>
      <c r="K7" s="50"/>
      <c r="L7" s="50" t="s">
        <v>228</v>
      </c>
      <c r="M7" s="50" t="n">
        <v>1</v>
      </c>
      <c r="N7" s="50" t="s">
        <v>167</v>
      </c>
      <c r="O7" s="50" t="s">
        <v>229</v>
      </c>
      <c r="P7" s="50" t="s">
        <v>229</v>
      </c>
      <c r="Q7" s="50" t="n">
        <f aca="true">OFFSET(依頼種別!$A$1, MATCH(L7,依頼種別!B:B,0)-1,0)</f>
        <v>9</v>
      </c>
      <c r="R7" s="76" t="str">
        <f aca="false">"[" &amp; _xlfn.TEXTJOIN(",", 1, IFERROR(INDEX(ノード!A:A, MATCH(I7, ノード!B:B, 0)), ""), IFERROR(INDEX(ノード!A:A, MATCH(J7, ノード!B:B, 0)), ""), IFERROR(INDEX(ノード!A:A, MATCH(K7, ノード!B:B, 0)), "") ) &amp; "]"</f>
        <v>[4]</v>
      </c>
      <c r="S7" s="50" t="n">
        <f aca="false">_xlfn.XLOOKUP(O7, 'バフ、デバフ'!B:B, 'バフ、デバフ'!A:A, "")</f>
        <v>1</v>
      </c>
      <c r="T7" s="50" t="n">
        <f aca="false">_xlfn.XLOOKUP(P7, 'バフ、デバフ'!B:B, 'バフ、デバフ'!A:A, "")</f>
        <v>1</v>
      </c>
    </row>
    <row r="8" customFormat="false" ht="41.45" hidden="false" customHeight="false" outlineLevel="0" collapsed="false">
      <c r="A8" s="50" t="n">
        <v>1</v>
      </c>
      <c r="B8" s="50" t="n">
        <v>2</v>
      </c>
      <c r="C8" s="74" t="s">
        <v>234</v>
      </c>
      <c r="D8" s="75" t="s">
        <v>235</v>
      </c>
      <c r="E8" s="75" t="s">
        <v>236</v>
      </c>
      <c r="F8" s="50" t="s">
        <v>167</v>
      </c>
      <c r="G8" s="50" t="s">
        <v>237</v>
      </c>
      <c r="H8" s="50" t="n">
        <f aca="true">OFFSET(依頼主!$A$1,MATCH(G8,依頼主!B:B,0)-1,0)</f>
        <v>8</v>
      </c>
      <c r="I8" s="50" t="s">
        <v>121</v>
      </c>
      <c r="J8" s="50"/>
      <c r="K8" s="50"/>
      <c r="L8" s="50" t="s">
        <v>228</v>
      </c>
      <c r="M8" s="50" t="n">
        <v>12</v>
      </c>
      <c r="N8" s="50" t="s">
        <v>167</v>
      </c>
      <c r="O8" s="50" t="s">
        <v>238</v>
      </c>
      <c r="P8" s="50" t="s">
        <v>229</v>
      </c>
      <c r="Q8" s="50" t="n">
        <f aca="true">OFFSET(依頼種別!$A$1, MATCH(L8,依頼種別!B:B,0)-1,0)</f>
        <v>9</v>
      </c>
      <c r="R8" s="76" t="str">
        <f aca="false">"[" &amp; _xlfn.TEXTJOIN(",", 1, IFERROR(INDEX(ノード!A:A, MATCH(I8, ノード!B:B, 0)), ""), IFERROR(INDEX(ノード!A:A, MATCH(J8, ノード!B:B, 0)), ""), IFERROR(INDEX(ノード!A:A, MATCH(K8, ノード!B:B, 0)), "") ) &amp; "]"</f>
        <v>[4]</v>
      </c>
      <c r="S8" s="50" t="n">
        <f aca="false">_xlfn.XLOOKUP(O8, 'バフ、デバフ'!B:B, 'バフ、デバフ'!A:A, "")</f>
        <v>3</v>
      </c>
      <c r="T8" s="50" t="n">
        <f aca="false">_xlfn.XLOOKUP(P8, 'バフ、デバフ'!B:B, 'バフ、デバフ'!A:A, "")</f>
        <v>1</v>
      </c>
    </row>
    <row r="9" customFormat="false" ht="54.7" hidden="false" customHeight="false" outlineLevel="0" collapsed="false">
      <c r="A9" s="50" t="n">
        <v>1</v>
      </c>
      <c r="B9" s="50" t="n">
        <v>2</v>
      </c>
      <c r="C9" s="74" t="s">
        <v>239</v>
      </c>
      <c r="D9" s="75" t="s">
        <v>240</v>
      </c>
      <c r="E9" s="75" t="s">
        <v>241</v>
      </c>
      <c r="F9" s="50" t="s">
        <v>167</v>
      </c>
      <c r="G9" s="50" t="s">
        <v>227</v>
      </c>
      <c r="H9" s="50" t="n">
        <f aca="true">OFFSET(依頼主!$A$1,MATCH(G9,依頼主!B:B,0)-1,0)</f>
        <v>12</v>
      </c>
      <c r="I9" s="50" t="s">
        <v>120</v>
      </c>
      <c r="J9" s="50"/>
      <c r="K9" s="50"/>
      <c r="L9" s="50" t="s">
        <v>242</v>
      </c>
      <c r="M9" s="50" t="n">
        <v>1</v>
      </c>
      <c r="N9" s="50" t="n">
        <v>2</v>
      </c>
      <c r="O9" s="50" t="s">
        <v>243</v>
      </c>
      <c r="P9" s="50" t="s">
        <v>229</v>
      </c>
      <c r="Q9" s="50" t="n">
        <f aca="true">OFFSET(依頼種別!$A$1, MATCH(L9,依頼種別!B:B,0)-1,0)</f>
        <v>4</v>
      </c>
      <c r="R9" s="76" t="str">
        <f aca="false">"[" &amp; _xlfn.TEXTJOIN(",", 1, IFERROR(INDEX(ノード!A:A, MATCH(I9, ノード!B:B, 0)), ""), IFERROR(INDEX(ノード!A:A, MATCH(J9, ノード!B:B, 0)), ""), IFERROR(INDEX(ノード!A:A, MATCH(K9, ノード!B:B, 0)), "") ) &amp; "]"</f>
        <v>[3]</v>
      </c>
      <c r="S9" s="50" t="n">
        <f aca="false">_xlfn.XLOOKUP(O9, 'バフ、デバフ'!B:B, 'バフ、デバフ'!A:A, "")</f>
        <v>7</v>
      </c>
      <c r="T9" s="50" t="n">
        <f aca="false">_xlfn.XLOOKUP(P9, 'バフ、デバフ'!B:B, 'バフ、デバフ'!A:A, "")</f>
        <v>1</v>
      </c>
    </row>
    <row r="10" customFormat="false" ht="54.7" hidden="false" customHeight="false" outlineLevel="0" collapsed="false">
      <c r="A10" s="50" t="n">
        <v>1</v>
      </c>
      <c r="B10" s="50" t="n">
        <v>2</v>
      </c>
      <c r="C10" s="74" t="s">
        <v>244</v>
      </c>
      <c r="D10" s="75" t="s">
        <v>245</v>
      </c>
      <c r="E10" s="75" t="s">
        <v>246</v>
      </c>
      <c r="F10" s="50" t="s">
        <v>167</v>
      </c>
      <c r="G10" s="50" t="s">
        <v>247</v>
      </c>
      <c r="H10" s="50" t="n">
        <f aca="true">OFFSET(依頼主!$A$1,MATCH(G10,依頼主!B:B,0)-1,0)</f>
        <v>6</v>
      </c>
      <c r="I10" s="50" t="s">
        <v>126</v>
      </c>
      <c r="J10" s="50"/>
      <c r="K10" s="50"/>
      <c r="L10" s="50" t="s">
        <v>248</v>
      </c>
      <c r="M10" s="50" t="n">
        <v>0</v>
      </c>
      <c r="N10" s="50" t="s">
        <v>167</v>
      </c>
      <c r="O10" s="50" t="s">
        <v>249</v>
      </c>
      <c r="P10" s="50" t="s">
        <v>229</v>
      </c>
      <c r="Q10" s="50" t="n">
        <f aca="true">OFFSET(依頼種別!$A$1, MATCH(L10,依頼種別!B:B,0)-1,0)</f>
        <v>8</v>
      </c>
      <c r="R10" s="76" t="str">
        <f aca="false">"[" &amp; _xlfn.TEXTJOIN(",", 1, IFERROR(INDEX(ノード!A:A, MATCH(I10, ノード!B:B, 0)), ""), IFERROR(INDEX(ノード!A:A, MATCH(J10, ノード!B:B, 0)), ""), IFERROR(INDEX(ノード!A:A, MATCH(K10, ノード!B:B, 0)), "") ) &amp; "]"</f>
        <v>[9]</v>
      </c>
      <c r="S10" s="50" t="n">
        <f aca="false">_xlfn.XLOOKUP(O10, 'バフ、デバフ'!B:B, 'バフ、デバフ'!A:A, "")</f>
        <v>5</v>
      </c>
      <c r="T10" s="50" t="n">
        <f aca="false">_xlfn.XLOOKUP(P10, 'バフ、デバフ'!B:B, 'バフ、デバフ'!A:A, "")</f>
        <v>1</v>
      </c>
    </row>
    <row r="11" customFormat="false" ht="54.7" hidden="false" customHeight="false" outlineLevel="0" collapsed="false">
      <c r="A11" s="50" t="n">
        <v>1</v>
      </c>
      <c r="B11" s="50" t="n">
        <v>3</v>
      </c>
      <c r="C11" s="74" t="s">
        <v>250</v>
      </c>
      <c r="D11" s="75" t="s">
        <v>251</v>
      </c>
      <c r="E11" s="75" t="s">
        <v>252</v>
      </c>
      <c r="F11" s="50" t="s">
        <v>167</v>
      </c>
      <c r="G11" s="50" t="s">
        <v>253</v>
      </c>
      <c r="H11" s="50" t="n">
        <f aca="true">OFFSET(依頼主!$A$1,MATCH(G11,依頼主!B:B,0)-1,0)</f>
        <v>9</v>
      </c>
      <c r="I11" s="50" t="s">
        <v>121</v>
      </c>
      <c r="J11" s="50"/>
      <c r="K11" s="50"/>
      <c r="L11" s="50" t="s">
        <v>242</v>
      </c>
      <c r="M11" s="50" t="n">
        <v>4</v>
      </c>
      <c r="N11" s="50" t="n">
        <v>2</v>
      </c>
      <c r="O11" s="50" t="s">
        <v>229</v>
      </c>
      <c r="P11" s="50" t="s">
        <v>229</v>
      </c>
      <c r="Q11" s="50" t="n">
        <f aca="true">OFFSET(依頼種別!$A$1, MATCH(L11,依頼種別!B:B,0)-1,0)</f>
        <v>4</v>
      </c>
      <c r="R11" s="76" t="str">
        <f aca="false">"[" &amp; _xlfn.TEXTJOIN(",", 1, IFERROR(INDEX(ノード!A:A, MATCH(I11, ノード!B:B, 0)), ""), IFERROR(INDEX(ノード!A:A, MATCH(J11, ノード!B:B, 0)), ""), IFERROR(INDEX(ノード!A:A, MATCH(K11, ノード!B:B, 0)), "") ) &amp; "]"</f>
        <v>[4]</v>
      </c>
      <c r="S11" s="50" t="n">
        <f aca="false">_xlfn.XLOOKUP(O11, 'バフ、デバフ'!B:B, 'バフ、デバフ'!A:A, "")</f>
        <v>1</v>
      </c>
      <c r="T11" s="50" t="n">
        <f aca="false">_xlfn.XLOOKUP(P11, 'バフ、デバフ'!B:B, 'バフ、デバフ'!A:A, "")</f>
        <v>1</v>
      </c>
    </row>
    <row r="12" customFormat="false" ht="54.7" hidden="false" customHeight="false" outlineLevel="0" collapsed="false">
      <c r="A12" s="50" t="n">
        <v>1</v>
      </c>
      <c r="B12" s="50" t="n">
        <v>3</v>
      </c>
      <c r="C12" s="74" t="s">
        <v>254</v>
      </c>
      <c r="D12" s="75" t="s">
        <v>255</v>
      </c>
      <c r="E12" s="75" t="s">
        <v>256</v>
      </c>
      <c r="F12" s="50" t="s">
        <v>167</v>
      </c>
      <c r="G12" s="50" t="s">
        <v>227</v>
      </c>
      <c r="H12" s="50" t="n">
        <f aca="true">OFFSET(依頼主!$A$1,MATCH(G12,依頼主!B:B,0)-1,0)</f>
        <v>12</v>
      </c>
      <c r="I12" s="50" t="s">
        <v>120</v>
      </c>
      <c r="J12" s="50"/>
      <c r="K12" s="50"/>
      <c r="L12" s="50" t="s">
        <v>242</v>
      </c>
      <c r="M12" s="50" t="n">
        <v>2</v>
      </c>
      <c r="N12" s="50" t="n">
        <v>3</v>
      </c>
      <c r="O12" s="50" t="s">
        <v>229</v>
      </c>
      <c r="P12" s="50" t="s">
        <v>229</v>
      </c>
      <c r="Q12" s="50" t="n">
        <f aca="true">OFFSET(依頼種別!$A$1, MATCH(L12,依頼種別!B:B,0)-1,0)</f>
        <v>4</v>
      </c>
      <c r="R12" s="76" t="str">
        <f aca="false">"[" &amp; _xlfn.TEXTJOIN(",", 1, IFERROR(INDEX(ノード!A:A, MATCH(I12, ノード!B:B, 0)), ""), IFERROR(INDEX(ノード!A:A, MATCH(J12, ノード!B:B, 0)), ""), IFERROR(INDEX(ノード!A:A, MATCH(K12, ノード!B:B, 0)), "") ) &amp; "]"</f>
        <v>[3]</v>
      </c>
      <c r="S12" s="50" t="n">
        <f aca="false">_xlfn.XLOOKUP(O12, 'バフ、デバフ'!B:B, 'バフ、デバフ'!A:A, "")</f>
        <v>1</v>
      </c>
      <c r="T12" s="50" t="n">
        <f aca="false">_xlfn.XLOOKUP(P12, 'バフ、デバフ'!B:B, 'バフ、デバフ'!A:A, "")</f>
        <v>1</v>
      </c>
    </row>
    <row r="13" customFormat="false" ht="54.7" hidden="false" customHeight="false" outlineLevel="0" collapsed="false">
      <c r="A13" s="50" t="n">
        <v>1</v>
      </c>
      <c r="B13" s="50" t="n">
        <v>3</v>
      </c>
      <c r="C13" s="50" t="s">
        <v>257</v>
      </c>
      <c r="D13" s="75" t="s">
        <v>258</v>
      </c>
      <c r="E13" s="75" t="s">
        <v>259</v>
      </c>
      <c r="F13" s="50" t="s">
        <v>167</v>
      </c>
      <c r="G13" s="50" t="s">
        <v>260</v>
      </c>
      <c r="H13" s="50" t="n">
        <f aca="true">OFFSET(依頼主!$A$1,MATCH(G13,依頼主!B:B,0)-1,0)</f>
        <v>1</v>
      </c>
      <c r="I13" s="50" t="s">
        <v>118</v>
      </c>
      <c r="J13" s="50" t="s">
        <v>119</v>
      </c>
      <c r="K13" s="50"/>
      <c r="L13" s="50" t="s">
        <v>228</v>
      </c>
      <c r="M13" s="50" t="n">
        <v>20</v>
      </c>
      <c r="N13" s="50" t="s">
        <v>167</v>
      </c>
      <c r="O13" s="50" t="s">
        <v>229</v>
      </c>
      <c r="P13" s="50" t="s">
        <v>229</v>
      </c>
      <c r="Q13" s="50" t="n">
        <f aca="true">OFFSET(依頼種別!$A$1, MATCH(L13,依頼種別!B:B,0)-1,0)</f>
        <v>9</v>
      </c>
      <c r="R13" s="76" t="str">
        <f aca="false">"[" &amp; _xlfn.TEXTJOIN(",", 1, IFERROR(INDEX(ノード!A:A, MATCH(I13, ノード!B:B, 0)), ""), IFERROR(INDEX(ノード!A:A, MATCH(J13, ノード!B:B, 0)), ""), IFERROR(INDEX(ノード!A:A, MATCH(K13, ノード!B:B, 0)), "") ) &amp; "]"</f>
        <v>[1,2]</v>
      </c>
      <c r="S13" s="50" t="n">
        <f aca="false">_xlfn.XLOOKUP(O13, 'バフ、デバフ'!B:B, 'バフ、デバフ'!A:A, "")</f>
        <v>1</v>
      </c>
      <c r="T13" s="50" t="n">
        <f aca="false">_xlfn.XLOOKUP(P13, 'バフ、デバフ'!B:B, 'バフ、デバフ'!A:A, "")</f>
        <v>1</v>
      </c>
    </row>
    <row r="14" customFormat="false" ht="54.7" hidden="false" customHeight="false" outlineLevel="0" collapsed="false">
      <c r="A14" s="50" t="n">
        <v>1</v>
      </c>
      <c r="B14" s="50" t="n">
        <v>4</v>
      </c>
      <c r="C14" s="74" t="s">
        <v>261</v>
      </c>
      <c r="D14" s="75" t="s">
        <v>262</v>
      </c>
      <c r="E14" s="75" t="s">
        <v>263</v>
      </c>
      <c r="F14" s="50" t="s">
        <v>167</v>
      </c>
      <c r="G14" s="50" t="s">
        <v>237</v>
      </c>
      <c r="H14" s="50" t="n">
        <f aca="true">OFFSET(依頼主!$A$1,MATCH(G14,依頼主!B:B,0)-1,0)</f>
        <v>8</v>
      </c>
      <c r="I14" s="50" t="s">
        <v>123</v>
      </c>
      <c r="J14" s="50"/>
      <c r="K14" s="50"/>
      <c r="L14" s="50" t="s">
        <v>242</v>
      </c>
      <c r="M14" s="50" t="n">
        <v>3</v>
      </c>
      <c r="N14" s="50" t="n">
        <v>3</v>
      </c>
      <c r="O14" s="50" t="s">
        <v>249</v>
      </c>
      <c r="P14" s="50" t="s">
        <v>229</v>
      </c>
      <c r="Q14" s="50" t="n">
        <f aca="true">OFFSET(依頼種別!$A$1, MATCH(L14,依頼種別!B:B,0)-1,0)</f>
        <v>4</v>
      </c>
      <c r="R14" s="76" t="str">
        <f aca="false">"[" &amp; _xlfn.TEXTJOIN(",", 1, IFERROR(INDEX(ノード!A:A, MATCH(I14, ノード!B:B, 0)), ""), IFERROR(INDEX(ノード!A:A, MATCH(J14, ノード!B:B, 0)), ""), IFERROR(INDEX(ノード!A:A, MATCH(K14, ノード!B:B, 0)), "") ) &amp; "]"</f>
        <v>[6]</v>
      </c>
      <c r="S14" s="50" t="n">
        <f aca="false">_xlfn.XLOOKUP(O14, 'バフ、デバフ'!B:B, 'バフ、デバフ'!A:A, "")</f>
        <v>5</v>
      </c>
      <c r="T14" s="50" t="n">
        <f aca="false">_xlfn.XLOOKUP(P14, 'バフ、デバフ'!B:B, 'バフ、デバフ'!A:A, "")</f>
        <v>1</v>
      </c>
    </row>
    <row r="15" customFormat="false" ht="54.7" hidden="false" customHeight="false" outlineLevel="0" collapsed="false">
      <c r="A15" s="50" t="n">
        <v>1</v>
      </c>
      <c r="B15" s="50" t="n">
        <v>4</v>
      </c>
      <c r="C15" s="74" t="s">
        <v>264</v>
      </c>
      <c r="D15" s="75" t="s">
        <v>265</v>
      </c>
      <c r="E15" s="75" t="s">
        <v>266</v>
      </c>
      <c r="F15" s="50" t="s">
        <v>167</v>
      </c>
      <c r="G15" s="50" t="s">
        <v>227</v>
      </c>
      <c r="H15" s="50" t="n">
        <f aca="true">OFFSET(依頼主!$A$1,MATCH(G15,依頼主!B:B,0)-1,0)</f>
        <v>12</v>
      </c>
      <c r="I15" s="50" t="s">
        <v>120</v>
      </c>
      <c r="J15" s="50"/>
      <c r="K15" s="50"/>
      <c r="L15" s="50" t="s">
        <v>242</v>
      </c>
      <c r="M15" s="50" t="n">
        <v>2</v>
      </c>
      <c r="N15" s="50" t="n">
        <v>4</v>
      </c>
      <c r="O15" s="50" t="s">
        <v>267</v>
      </c>
      <c r="P15" s="50" t="s">
        <v>229</v>
      </c>
      <c r="Q15" s="50" t="n">
        <f aca="true">OFFSET(依頼種別!$A$1, MATCH(L15,依頼種別!B:B,0)-1,0)</f>
        <v>4</v>
      </c>
      <c r="R15" s="76" t="str">
        <f aca="false">"[" &amp; _xlfn.TEXTJOIN(",", 1, IFERROR(INDEX(ノード!A:A, MATCH(I15, ノード!B:B, 0)), ""), IFERROR(INDEX(ノード!A:A, MATCH(J15, ノード!B:B, 0)), ""), IFERROR(INDEX(ノード!A:A, MATCH(K15, ノード!B:B, 0)), "") ) &amp; "]"</f>
        <v>[3]</v>
      </c>
      <c r="S15" s="50" t="n">
        <f aca="false">_xlfn.XLOOKUP(O15, 'バフ、デバフ'!B:B, 'バフ、デバフ'!A:A, "")</f>
        <v>6</v>
      </c>
      <c r="T15" s="50" t="n">
        <f aca="false">_xlfn.XLOOKUP(P15, 'バフ、デバフ'!B:B, 'バフ、デバフ'!A:A, "")</f>
        <v>1</v>
      </c>
    </row>
    <row r="16" customFormat="false" ht="54.7" hidden="false" customHeight="false" outlineLevel="0" collapsed="false">
      <c r="A16" s="50" t="n">
        <v>1</v>
      </c>
      <c r="B16" s="50" t="n">
        <v>5</v>
      </c>
      <c r="C16" s="74" t="s">
        <v>268</v>
      </c>
      <c r="D16" s="75" t="s">
        <v>269</v>
      </c>
      <c r="E16" s="75" t="s">
        <v>270</v>
      </c>
      <c r="F16" s="50" t="s">
        <v>167</v>
      </c>
      <c r="G16" s="50" t="s">
        <v>247</v>
      </c>
      <c r="H16" s="50" t="n">
        <f aca="true">OFFSET(依頼主!$A$1,MATCH(G16,依頼主!B:B,0)-1,0)</f>
        <v>6</v>
      </c>
      <c r="I16" s="50" t="s">
        <v>124</v>
      </c>
      <c r="J16" s="50"/>
      <c r="K16" s="50"/>
      <c r="L16" s="50" t="s">
        <v>242</v>
      </c>
      <c r="M16" s="50" t="n">
        <v>2</v>
      </c>
      <c r="N16" s="50" t="n">
        <v>2</v>
      </c>
      <c r="O16" s="50" t="s">
        <v>229</v>
      </c>
      <c r="P16" s="50" t="s">
        <v>229</v>
      </c>
      <c r="Q16" s="50" t="n">
        <f aca="true">OFFSET(依頼種別!$A$1, MATCH(L16,依頼種別!B:B,0)-1,0)</f>
        <v>4</v>
      </c>
      <c r="R16" s="76" t="str">
        <f aca="false">"[" &amp; _xlfn.TEXTJOIN(",", 1, IFERROR(INDEX(ノード!A:A, MATCH(I16, ノード!B:B, 0)), ""), IFERROR(INDEX(ノード!A:A, MATCH(J16, ノード!B:B, 0)), ""), IFERROR(INDEX(ノード!A:A, MATCH(K16, ノード!B:B, 0)), "") ) &amp; "]"</f>
        <v>[7]</v>
      </c>
      <c r="S16" s="50" t="n">
        <f aca="false">_xlfn.XLOOKUP(O16, 'バフ、デバフ'!B:B, 'バフ、デバフ'!A:A, "")</f>
        <v>1</v>
      </c>
      <c r="T16" s="50" t="n">
        <f aca="false">_xlfn.XLOOKUP(P16, 'バフ、デバフ'!B:B, 'バフ、デバフ'!A:A, "")</f>
        <v>1</v>
      </c>
    </row>
    <row r="17" customFormat="false" ht="41.45" hidden="false" customHeight="false" outlineLevel="0" collapsed="false">
      <c r="A17" s="50" t="n">
        <v>1</v>
      </c>
      <c r="B17" s="50" t="n">
        <v>5</v>
      </c>
      <c r="C17" s="74" t="s">
        <v>271</v>
      </c>
      <c r="D17" s="75" t="s">
        <v>272</v>
      </c>
      <c r="E17" s="75" t="s">
        <v>273</v>
      </c>
      <c r="F17" s="50" t="s">
        <v>167</v>
      </c>
      <c r="G17" s="50" t="s">
        <v>274</v>
      </c>
      <c r="H17" s="50" t="n">
        <f aca="true">OFFSET(依頼主!$A$1,MATCH(G17,依頼主!B:B,0)-1,0)</f>
        <v>5</v>
      </c>
      <c r="I17" s="50" t="s">
        <v>121</v>
      </c>
      <c r="J17" s="50"/>
      <c r="K17" s="50"/>
      <c r="L17" s="50" t="s">
        <v>242</v>
      </c>
      <c r="M17" s="50" t="n">
        <v>4</v>
      </c>
      <c r="N17" s="50" t="n">
        <v>4</v>
      </c>
      <c r="O17" s="50" t="s">
        <v>229</v>
      </c>
      <c r="P17" s="50" t="s">
        <v>229</v>
      </c>
      <c r="Q17" s="50" t="n">
        <f aca="true">OFFSET(依頼種別!$A$1, MATCH(L17,依頼種別!B:B,0)-1,0)</f>
        <v>4</v>
      </c>
      <c r="R17" s="76" t="str">
        <f aca="false">"[" &amp; _xlfn.TEXTJOIN(",", 1, IFERROR(INDEX(ノード!A:A, MATCH(I17, ノード!B:B, 0)), ""), IFERROR(INDEX(ノード!A:A, MATCH(J17, ノード!B:B, 0)), ""), IFERROR(INDEX(ノード!A:A, MATCH(K17, ノード!B:B, 0)), "") ) &amp; "]"</f>
        <v>[4]</v>
      </c>
      <c r="S17" s="50" t="n">
        <f aca="false">_xlfn.XLOOKUP(O17, 'バフ、デバフ'!B:B, 'バフ、デバフ'!A:A, "")</f>
        <v>1</v>
      </c>
      <c r="T17" s="50" t="n">
        <f aca="false">_xlfn.XLOOKUP(P17, 'バフ、デバフ'!B:B, 'バフ、デバフ'!A:A, "")</f>
        <v>1</v>
      </c>
    </row>
    <row r="18" customFormat="false" ht="54.7" hidden="false" customHeight="false" outlineLevel="0" collapsed="false">
      <c r="A18" s="50" t="n">
        <v>1</v>
      </c>
      <c r="B18" s="50" t="n">
        <v>6</v>
      </c>
      <c r="C18" s="74" t="s">
        <v>275</v>
      </c>
      <c r="D18" s="75" t="s">
        <v>276</v>
      </c>
      <c r="E18" s="75" t="s">
        <v>277</v>
      </c>
      <c r="F18" s="50" t="n">
        <v>1</v>
      </c>
      <c r="G18" s="50" t="s">
        <v>227</v>
      </c>
      <c r="H18" s="50" t="n">
        <f aca="true">OFFSET(依頼主!$A$1,MATCH(G18,依頼主!B:B,0)-1,0)</f>
        <v>12</v>
      </c>
      <c r="I18" s="50" t="s">
        <v>120</v>
      </c>
      <c r="J18" s="50"/>
      <c r="K18" s="50"/>
      <c r="L18" s="50" t="s">
        <v>278</v>
      </c>
      <c r="M18" s="50" t="s">
        <v>167</v>
      </c>
      <c r="N18" s="50" t="s">
        <v>167</v>
      </c>
      <c r="O18" s="50" t="s">
        <v>279</v>
      </c>
      <c r="P18" s="50" t="s">
        <v>229</v>
      </c>
      <c r="Q18" s="50" t="n">
        <f aca="true">OFFSET(依頼種別!$A$1, MATCH(L18,依頼種別!B:B,0)-1,0)</f>
        <v>1</v>
      </c>
      <c r="R18" s="76" t="str">
        <f aca="false">"[" &amp; _xlfn.TEXTJOIN(",", 1, IFERROR(INDEX(ノード!A:A, MATCH(I18, ノード!B:B, 0)), ""), IFERROR(INDEX(ノード!A:A, MATCH(J18, ノード!B:B, 0)), ""), IFERROR(INDEX(ノード!A:A, MATCH(K18, ノード!B:B, 0)), "") ) &amp; "]"</f>
        <v>[3]</v>
      </c>
      <c r="S18" s="50" t="n">
        <f aca="false">_xlfn.XLOOKUP(O18, 'バフ、デバフ'!B:B, 'バフ、デバフ'!A:A, "")</f>
        <v>8</v>
      </c>
      <c r="T18" s="50" t="n">
        <f aca="false">_xlfn.XLOOKUP(P18, 'バフ、デバフ'!B:B, 'バフ、デバフ'!A:A, "")</f>
        <v>1</v>
      </c>
    </row>
    <row r="19" customFormat="false" ht="54.7" hidden="false" customHeight="false" outlineLevel="0" collapsed="false">
      <c r="A19" s="50" t="n">
        <v>1</v>
      </c>
      <c r="B19" s="50" t="n">
        <v>6</v>
      </c>
      <c r="C19" s="74" t="s">
        <v>280</v>
      </c>
      <c r="D19" s="75" t="s">
        <v>281</v>
      </c>
      <c r="E19" s="75" t="s">
        <v>282</v>
      </c>
      <c r="F19" s="50" t="n">
        <v>1</v>
      </c>
      <c r="G19" s="50" t="s">
        <v>283</v>
      </c>
      <c r="H19" s="50" t="n">
        <f aca="true">OFFSET(依頼主!$A$1,MATCH(G19,依頼主!B:B,0)-1,0)</f>
        <v>13</v>
      </c>
      <c r="I19" s="50" t="s">
        <v>123</v>
      </c>
      <c r="J19" s="50"/>
      <c r="K19" s="50"/>
      <c r="L19" s="50" t="s">
        <v>278</v>
      </c>
      <c r="M19" s="50" t="s">
        <v>167</v>
      </c>
      <c r="N19" s="50" t="s">
        <v>167</v>
      </c>
      <c r="O19" s="50" t="s">
        <v>284</v>
      </c>
      <c r="P19" s="50" t="s">
        <v>229</v>
      </c>
      <c r="Q19" s="50" t="n">
        <f aca="true">OFFSET(依頼種別!$A$1, MATCH(L19,依頼種別!B:B,0)-1,0)</f>
        <v>1</v>
      </c>
      <c r="R19" s="76" t="str">
        <f aca="false">"[" &amp; _xlfn.TEXTJOIN(",", 1, IFERROR(INDEX(ノード!A:A, MATCH(I19, ノード!B:B, 0)), ""), IFERROR(INDEX(ノード!A:A, MATCH(J19, ノード!B:B, 0)), ""), IFERROR(INDEX(ノード!A:A, MATCH(K19, ノード!B:B, 0)), "") ) &amp; "]"</f>
        <v>[6]</v>
      </c>
      <c r="S19" s="50" t="n">
        <f aca="false">_xlfn.XLOOKUP(O19, 'バフ、デバフ'!B:B, 'バフ、デバフ'!A:A, "")</f>
        <v>9</v>
      </c>
      <c r="T19" s="50" t="n">
        <f aca="false">_xlfn.XLOOKUP(P19, 'バフ、デバフ'!B:B, 'バフ、デバフ'!A:A, "")</f>
        <v>1</v>
      </c>
    </row>
    <row r="20" customFormat="false" ht="54.7" hidden="false" customHeight="false" outlineLevel="0" collapsed="false">
      <c r="A20" s="50" t="n">
        <v>1</v>
      </c>
      <c r="B20" s="50" t="n">
        <v>6</v>
      </c>
      <c r="C20" s="74" t="s">
        <v>285</v>
      </c>
      <c r="D20" s="75" t="s">
        <v>286</v>
      </c>
      <c r="E20" s="75" t="s">
        <v>287</v>
      </c>
      <c r="F20" s="50" t="n">
        <v>1</v>
      </c>
      <c r="G20" s="50" t="s">
        <v>247</v>
      </c>
      <c r="H20" s="50" t="n">
        <f aca="true">OFFSET(依頼主!$A$1,MATCH(G20,依頼主!B:B,0)-1,0)</f>
        <v>6</v>
      </c>
      <c r="I20" s="50" t="s">
        <v>124</v>
      </c>
      <c r="J20" s="50"/>
      <c r="K20" s="50"/>
      <c r="L20" s="50" t="s">
        <v>278</v>
      </c>
      <c r="M20" s="50" t="s">
        <v>167</v>
      </c>
      <c r="N20" s="50" t="s">
        <v>167</v>
      </c>
      <c r="O20" s="50" t="s">
        <v>288</v>
      </c>
      <c r="P20" s="50" t="s">
        <v>229</v>
      </c>
      <c r="Q20" s="50" t="n">
        <f aca="true">OFFSET(依頼種別!$A$1, MATCH(L20,依頼種別!B:B,0)-1,0)</f>
        <v>1</v>
      </c>
      <c r="R20" s="76" t="str">
        <f aca="false">"[" &amp; _xlfn.TEXTJOIN(",", 1, IFERROR(INDEX(ノード!A:A, MATCH(I20, ノード!B:B, 0)), ""), IFERROR(INDEX(ノード!A:A, MATCH(J20, ノード!B:B, 0)), ""), IFERROR(INDEX(ノード!A:A, MATCH(K20, ノード!B:B, 0)), "") ) &amp; "]"</f>
        <v>[7]</v>
      </c>
      <c r="S20" s="50" t="n">
        <f aca="false">_xlfn.XLOOKUP(O20, 'バフ、デバフ'!B:B, 'バフ、デバフ'!A:A, "")</f>
        <v>10</v>
      </c>
      <c r="T20" s="50" t="n">
        <f aca="false">_xlfn.XLOOKUP(P20, 'バフ、デバフ'!B:B, 'バフ、デバフ'!A:A, "")</f>
        <v>1</v>
      </c>
    </row>
    <row r="21" customFormat="false" ht="67.9" hidden="false" customHeight="false" outlineLevel="0" collapsed="false">
      <c r="A21" s="50" t="n">
        <v>1</v>
      </c>
      <c r="B21" s="50" t="n">
        <v>7</v>
      </c>
      <c r="C21" s="74" t="s">
        <v>289</v>
      </c>
      <c r="D21" s="75" t="s">
        <v>290</v>
      </c>
      <c r="E21" s="75" t="s">
        <v>291</v>
      </c>
      <c r="F21" s="50" t="s">
        <v>167</v>
      </c>
      <c r="G21" s="50" t="s">
        <v>292</v>
      </c>
      <c r="H21" s="50" t="n">
        <f aca="true">OFFSET(依頼主!$A$1,MATCH(G21,依頼主!B:B,0)-1,0)</f>
        <v>11</v>
      </c>
      <c r="I21" s="50"/>
      <c r="J21" s="50"/>
      <c r="K21" s="50"/>
      <c r="L21" s="50" t="s">
        <v>293</v>
      </c>
      <c r="M21" s="50" t="n">
        <v>1000</v>
      </c>
      <c r="N21" s="50" t="s">
        <v>167</v>
      </c>
      <c r="O21" s="50" t="s">
        <v>229</v>
      </c>
      <c r="P21" s="50" t="s">
        <v>229</v>
      </c>
      <c r="Q21" s="50" t="n">
        <f aca="true">OFFSET(依頼種別!$A$1, MATCH(L21,依頼種別!B:B,0)-1,0)</f>
        <v>10</v>
      </c>
      <c r="R21" s="76" t="str">
        <f aca="false">"[" &amp; _xlfn.TEXTJOIN(",", 1, IFERROR(INDEX(ノード!A:A, MATCH(I21, ノード!B:B, 0)), ""), IFERROR(INDEX(ノード!A:A, MATCH(J21, ノード!B:B, 0)), ""), IFERROR(INDEX(ノード!A:A, MATCH(K21, ノード!B:B, 0)), "") ) &amp; "]"</f>
        <v>[]</v>
      </c>
      <c r="S21" s="50" t="n">
        <f aca="false">_xlfn.XLOOKUP(O21, 'バフ、デバフ'!B:B, 'バフ、デバフ'!A:A, "")</f>
        <v>1</v>
      </c>
      <c r="T21" s="50" t="n">
        <f aca="false">_xlfn.XLOOKUP(P21, 'バフ、デバフ'!B:B, 'バフ、デバフ'!A:A, "")</f>
        <v>1</v>
      </c>
    </row>
    <row r="22" customFormat="false" ht="54.7" hidden="false" customHeight="false" outlineLevel="0" collapsed="false">
      <c r="A22" s="50" t="n">
        <v>1</v>
      </c>
      <c r="B22" s="50" t="n">
        <v>7</v>
      </c>
      <c r="C22" s="74" t="s">
        <v>294</v>
      </c>
      <c r="D22" s="75" t="s">
        <v>295</v>
      </c>
      <c r="E22" s="75" t="s">
        <v>296</v>
      </c>
      <c r="F22" s="50" t="s">
        <v>167</v>
      </c>
      <c r="G22" s="50" t="s">
        <v>297</v>
      </c>
      <c r="H22" s="50" t="n">
        <f aca="true">OFFSET(依頼主!$A$1,MATCH(G22,依頼主!B:B,0)-1,0)</f>
        <v>7</v>
      </c>
      <c r="I22" s="50"/>
      <c r="J22" s="50"/>
      <c r="K22" s="50"/>
      <c r="L22" s="50" t="s">
        <v>242</v>
      </c>
      <c r="M22" s="50" t="n">
        <v>4</v>
      </c>
      <c r="N22" s="50" t="n">
        <v>5</v>
      </c>
      <c r="O22" s="50" t="s">
        <v>229</v>
      </c>
      <c r="P22" s="50" t="s">
        <v>229</v>
      </c>
      <c r="Q22" s="50" t="n">
        <f aca="true">OFFSET(依頼種別!$A$1, MATCH(L22,依頼種別!B:B,0)-1,0)</f>
        <v>4</v>
      </c>
      <c r="R22" s="76" t="str">
        <f aca="false">"[" &amp; _xlfn.TEXTJOIN(",", 1, IFERROR(INDEX(ノード!A:A, MATCH(I22, ノード!B:B, 0)), ""), IFERROR(INDEX(ノード!A:A, MATCH(J22, ノード!B:B, 0)), ""), IFERROR(INDEX(ノード!A:A, MATCH(K22, ノード!B:B, 0)), "") ) &amp; "]"</f>
        <v>[]</v>
      </c>
      <c r="S22" s="50" t="n">
        <f aca="false">_xlfn.XLOOKUP(O22, 'バフ、デバフ'!B:B, 'バフ、デバフ'!A:A, "")</f>
        <v>1</v>
      </c>
      <c r="T22" s="50" t="n">
        <f aca="false">_xlfn.XLOOKUP(P22, 'バフ、デバフ'!B:B, 'バフ、デバフ'!A:A, "")</f>
        <v>1</v>
      </c>
    </row>
    <row r="23" customFormat="false" ht="13.8" hidden="false" customHeight="false" outlineLevel="0" collapsed="false">
      <c r="A23" s="46" t="s">
        <v>111</v>
      </c>
      <c r="B23" s="46"/>
      <c r="C23" s="46"/>
      <c r="D23" s="46"/>
      <c r="E23" s="46"/>
      <c r="F23" s="46"/>
      <c r="G23" s="46"/>
      <c r="H23" s="46"/>
      <c r="I23" s="46"/>
      <c r="J23" s="46"/>
      <c r="K23" s="46"/>
      <c r="L23" s="46"/>
      <c r="M23" s="46"/>
      <c r="N23" s="46"/>
      <c r="O23" s="46"/>
      <c r="P23" s="46"/>
      <c r="Q23" s="46"/>
      <c r="R23" s="46"/>
      <c r="S23" s="46"/>
      <c r="T23" s="46"/>
    </row>
    <row r="29" customFormat="false" ht="13.8" hidden="false" customHeight="false" outlineLevel="0" collapsed="false">
      <c r="A29" s="59" t="s">
        <v>112</v>
      </c>
    </row>
    <row r="30" customFormat="false" ht="13.8" hidden="false" customHeight="false" outlineLevel="0" collapsed="false">
      <c r="A30" s="44" t="s">
        <v>298</v>
      </c>
    </row>
  </sheetData>
  <dataValidations count="5">
    <dataValidation allowBlank="true" errorStyle="stop" operator="between" showDropDown="false" showErrorMessage="true" showInputMessage="true" sqref="O6:Q22" type="list">
      <formula1>'バフ、デバフ'!$B$6:$B$15</formula1>
      <formula2>0</formula2>
    </dataValidation>
    <dataValidation allowBlank="true" errorStyle="stop" operator="between" showDropDown="false" showErrorMessage="true" showInputMessage="true" sqref="L6:L22" type="list">
      <formula1>依頼種別!$B$6:$B$102</formula1>
      <formula2>0</formula2>
    </dataValidation>
    <dataValidation allowBlank="true" errorStyle="stop" operator="between" showDropDown="false" showErrorMessage="true" showInputMessage="true" sqref="G6:G22" type="list">
      <formula1>依頼主!$B$6:$B$106</formula1>
      <formula2>0</formula2>
    </dataValidation>
    <dataValidation allowBlank="true" errorStyle="stop" operator="between" showDropDown="false" showErrorMessage="true" showInputMessage="true" sqref="I6:I22" type="list">
      <formula1>ノード!$B$6:$B$106</formula1>
      <formula2>0</formula2>
    </dataValidation>
    <dataValidation allowBlank="true" errorStyle="stop" operator="between" showDropDown="false" showErrorMessage="true" showInputMessage="true" sqref="J6:K22" type="list">
      <formula1>ノード!$B$6:$B$108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C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3" activeCellId="0" sqref="F23"/>
    </sheetView>
  </sheetViews>
  <sheetFormatPr defaultColWidth="8.2734375" defaultRowHeight="12.75" customHeight="false" zeroHeight="false" outlineLevelRow="0" outlineLevelCol="0"/>
  <cols>
    <col collapsed="false" customWidth="true" hidden="false" outlineLevel="0" max="2" min="2" style="70" width="24.18"/>
    <col collapsed="false" customWidth="true" hidden="false" outlineLevel="0" max="3" min="3" style="70" width="37.91"/>
  </cols>
  <sheetData>
    <row r="1" customFormat="false" ht="13.8" hidden="false" customHeight="false" outlineLevel="0" collapsed="false">
      <c r="A1" s="44"/>
      <c r="B1" s="44"/>
      <c r="C1" s="44"/>
    </row>
    <row r="2" customFormat="false" ht="13.8" hidden="false" customHeight="false" outlineLevel="0" collapsed="false">
      <c r="A2" s="44"/>
      <c r="B2" s="44"/>
      <c r="C2" s="44"/>
    </row>
    <row r="3" customFormat="false" ht="12.75" hidden="false" customHeight="false" outlineLevel="0" collapsed="false">
      <c r="A3" s="46" t="s">
        <v>92</v>
      </c>
      <c r="B3" s="46"/>
      <c r="C3" s="46"/>
    </row>
    <row r="4" customFormat="false" ht="12.75" hidden="false" customHeight="false" outlineLevel="0" collapsed="false">
      <c r="A4" s="47" t="s">
        <v>93</v>
      </c>
      <c r="B4" s="60" t="s">
        <v>94</v>
      </c>
      <c r="C4" s="47" t="s">
        <v>20</v>
      </c>
    </row>
    <row r="5" customFormat="false" ht="12.75" hidden="false" customHeight="false" outlineLevel="0" collapsed="false">
      <c r="A5" s="49" t="s">
        <v>99</v>
      </c>
      <c r="B5" s="49"/>
      <c r="C5" s="49" t="s">
        <v>160</v>
      </c>
    </row>
    <row r="6" customFormat="false" ht="12.75" hidden="false" customHeight="false" outlineLevel="0" collapsed="false">
      <c r="A6" s="50" t="n">
        <v>1</v>
      </c>
      <c r="B6" s="50" t="s">
        <v>278</v>
      </c>
      <c r="C6" s="50" t="s">
        <v>299</v>
      </c>
    </row>
    <row r="7" customFormat="false" ht="12.75" hidden="false" customHeight="false" outlineLevel="0" collapsed="false">
      <c r="A7" s="50" t="n">
        <v>2</v>
      </c>
      <c r="B7" s="50" t="s">
        <v>300</v>
      </c>
      <c r="C7" s="50" t="s">
        <v>301</v>
      </c>
    </row>
    <row r="8" customFormat="false" ht="12.75" hidden="false" customHeight="false" outlineLevel="0" collapsed="false">
      <c r="A8" s="50" t="n">
        <v>3</v>
      </c>
      <c r="B8" s="50" t="s">
        <v>302</v>
      </c>
      <c r="C8" s="50" t="s">
        <v>303</v>
      </c>
    </row>
    <row r="9" customFormat="false" ht="12.75" hidden="false" customHeight="false" outlineLevel="0" collapsed="false">
      <c r="A9" s="50" t="n">
        <v>4</v>
      </c>
      <c r="B9" s="50" t="s">
        <v>242</v>
      </c>
      <c r="C9" s="50" t="s">
        <v>304</v>
      </c>
    </row>
    <row r="10" customFormat="false" ht="12.75" hidden="false" customHeight="false" outlineLevel="0" collapsed="false">
      <c r="A10" s="50" t="n">
        <v>5</v>
      </c>
      <c r="B10" s="50" t="s">
        <v>305</v>
      </c>
      <c r="C10" s="50" t="s">
        <v>306</v>
      </c>
    </row>
    <row r="11" customFormat="false" ht="12.75" hidden="false" customHeight="false" outlineLevel="0" collapsed="false">
      <c r="A11" s="50" t="n">
        <v>6</v>
      </c>
      <c r="B11" s="50" t="s">
        <v>307</v>
      </c>
      <c r="C11" s="50" t="s">
        <v>306</v>
      </c>
    </row>
    <row r="12" customFormat="false" ht="12.75" hidden="false" customHeight="false" outlineLevel="0" collapsed="false">
      <c r="A12" s="50" t="n">
        <v>7</v>
      </c>
      <c r="B12" s="50" t="s">
        <v>308</v>
      </c>
      <c r="C12" s="50" t="s">
        <v>309</v>
      </c>
    </row>
    <row r="13" customFormat="false" ht="12.75" hidden="false" customHeight="false" outlineLevel="0" collapsed="false">
      <c r="A13" s="50" t="n">
        <v>8</v>
      </c>
      <c r="B13" s="50" t="s">
        <v>248</v>
      </c>
      <c r="C13" s="50" t="s">
        <v>310</v>
      </c>
    </row>
    <row r="14" customFormat="false" ht="12.75" hidden="false" customHeight="false" outlineLevel="0" collapsed="false">
      <c r="A14" s="50" t="n">
        <v>9</v>
      </c>
      <c r="B14" s="50" t="s">
        <v>228</v>
      </c>
      <c r="C14" s="50" t="s">
        <v>311</v>
      </c>
    </row>
    <row r="15" customFormat="false" ht="12.75" hidden="false" customHeight="false" outlineLevel="0" collapsed="false">
      <c r="A15" s="50" t="n">
        <v>10</v>
      </c>
      <c r="B15" s="50" t="s">
        <v>293</v>
      </c>
      <c r="C15" s="50" t="s">
        <v>312</v>
      </c>
    </row>
    <row r="16" customFormat="false" ht="12.75" hidden="false" customHeight="false" outlineLevel="0" collapsed="false">
      <c r="A16" s="46" t="s">
        <v>111</v>
      </c>
      <c r="B16" s="46"/>
      <c r="C16" s="46"/>
    </row>
    <row r="17" customFormat="false" ht="13.8" hidden="false" customHeight="false" outlineLevel="0" collapsed="false">
      <c r="A17" s="44"/>
      <c r="B17" s="44"/>
      <c r="C17" s="44"/>
    </row>
    <row r="18" customFormat="false" ht="13.8" hidden="false" customHeight="false" outlineLevel="0" collapsed="false">
      <c r="A18" s="44"/>
      <c r="B18" s="44"/>
      <c r="C18" s="44"/>
    </row>
    <row r="19" customFormat="false" ht="13.8" hidden="false" customHeight="false" outlineLevel="0" collapsed="false">
      <c r="A19" s="44"/>
      <c r="B19" s="44"/>
      <c r="C19" s="44"/>
    </row>
    <row r="20" customFormat="false" ht="13.8" hidden="false" customHeight="false" outlineLevel="0" collapsed="false">
      <c r="A20" s="59" t="s">
        <v>112</v>
      </c>
      <c r="B20" s="44"/>
      <c r="C20" s="44"/>
    </row>
    <row r="21" customFormat="false" ht="13.8" hidden="false" customHeight="false" outlineLevel="0" collapsed="false">
      <c r="A21" s="44" t="s">
        <v>113</v>
      </c>
      <c r="B21" s="44"/>
      <c r="C21" s="44"/>
    </row>
    <row r="22" customFormat="false" ht="12.75" hidden="false" customHeight="false" outlineLevel="0" collapsed="false">
      <c r="A22" s="44"/>
      <c r="B22" s="44"/>
      <c r="C22" s="44"/>
    </row>
    <row r="23" customFormat="false" ht="12.75" hidden="false" customHeight="false" outlineLevel="0" collapsed="false">
      <c r="A23" s="44"/>
      <c r="B23" s="44"/>
      <c r="C23" s="44"/>
    </row>
    <row r="24" customFormat="false" ht="12.75" hidden="false" customHeight="false" outlineLevel="0" collapsed="false">
      <c r="A24" s="44"/>
      <c r="B24" s="44"/>
      <c r="C24" s="4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B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2.75" customHeight="false" zeroHeight="false" outlineLevelRow="0" outlineLevelCol="0"/>
  <cols>
    <col collapsed="false" customWidth="true" hidden="false" outlineLevel="0" max="1" min="1" style="44" width="10.91"/>
    <col collapsed="false" customWidth="true" hidden="false" outlineLevel="0" max="2" min="2" style="44" width="21.91"/>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row>
    <row r="4" customFormat="false" ht="12.75" hidden="false" customHeight="false" outlineLevel="0" collapsed="false">
      <c r="A4" s="47" t="s">
        <v>93</v>
      </c>
      <c r="B4" s="47" t="s">
        <v>94</v>
      </c>
    </row>
    <row r="5" customFormat="false" ht="12.75" hidden="false" customHeight="false" outlineLevel="0" collapsed="false">
      <c r="A5" s="49" t="s">
        <v>99</v>
      </c>
      <c r="B5" s="49" t="s">
        <v>100</v>
      </c>
    </row>
    <row r="6" customFormat="false" ht="12.75" hidden="false" customHeight="false" outlineLevel="0" collapsed="false">
      <c r="A6" s="50" t="n">
        <v>1</v>
      </c>
      <c r="B6" s="50" t="s">
        <v>260</v>
      </c>
    </row>
    <row r="7" customFormat="false" ht="12.75" hidden="false" customHeight="false" outlineLevel="0" collapsed="false">
      <c r="A7" s="50" t="n">
        <v>2</v>
      </c>
      <c r="B7" s="50" t="s">
        <v>313</v>
      </c>
    </row>
    <row r="8" customFormat="false" ht="12.75" hidden="false" customHeight="false" outlineLevel="0" collapsed="false">
      <c r="A8" s="50" t="n">
        <v>3</v>
      </c>
      <c r="B8" s="50" t="s">
        <v>233</v>
      </c>
    </row>
    <row r="9" customFormat="false" ht="12.75" hidden="false" customHeight="false" outlineLevel="0" collapsed="false">
      <c r="A9" s="50" t="n">
        <v>4</v>
      </c>
      <c r="B9" s="50" t="s">
        <v>314</v>
      </c>
    </row>
    <row r="10" customFormat="false" ht="12.75" hidden="false" customHeight="false" outlineLevel="0" collapsed="false">
      <c r="A10" s="50" t="n">
        <v>5</v>
      </c>
      <c r="B10" s="50" t="s">
        <v>274</v>
      </c>
    </row>
    <row r="11" customFormat="false" ht="12.75" hidden="false" customHeight="false" outlineLevel="0" collapsed="false">
      <c r="A11" s="50" t="n">
        <v>6</v>
      </c>
      <c r="B11" s="50" t="s">
        <v>247</v>
      </c>
    </row>
    <row r="12" customFormat="false" ht="12.75" hidden="false" customHeight="false" outlineLevel="0" collapsed="false">
      <c r="A12" s="50" t="n">
        <v>7</v>
      </c>
      <c r="B12" s="50" t="s">
        <v>297</v>
      </c>
    </row>
    <row r="13" customFormat="false" ht="12.75" hidden="false" customHeight="false" outlineLevel="0" collapsed="false">
      <c r="A13" s="50" t="n">
        <v>8</v>
      </c>
      <c r="B13" s="50" t="s">
        <v>237</v>
      </c>
    </row>
    <row r="14" customFormat="false" ht="12.75" hidden="false" customHeight="false" outlineLevel="0" collapsed="false">
      <c r="A14" s="50" t="n">
        <v>9</v>
      </c>
      <c r="B14" s="50" t="s">
        <v>253</v>
      </c>
    </row>
    <row r="15" customFormat="false" ht="12.75" hidden="false" customHeight="false" outlineLevel="0" collapsed="false">
      <c r="A15" s="50" t="n">
        <v>10</v>
      </c>
      <c r="B15" s="50" t="s">
        <v>315</v>
      </c>
    </row>
    <row r="16" customFormat="false" ht="12.75" hidden="false" customHeight="false" outlineLevel="0" collapsed="false">
      <c r="A16" s="50" t="n">
        <v>11</v>
      </c>
      <c r="B16" s="50" t="s">
        <v>292</v>
      </c>
    </row>
    <row r="17" customFormat="false" ht="12.75" hidden="false" customHeight="false" outlineLevel="0" collapsed="false">
      <c r="A17" s="50" t="n">
        <v>12</v>
      </c>
      <c r="B17" s="50" t="s">
        <v>227</v>
      </c>
    </row>
    <row r="18" customFormat="false" ht="12.75" hidden="false" customHeight="false" outlineLevel="0" collapsed="false">
      <c r="A18" s="50" t="n">
        <v>13</v>
      </c>
      <c r="B18" s="50" t="s">
        <v>283</v>
      </c>
    </row>
    <row r="19" customFormat="false" ht="12.75" hidden="false" customHeight="false" outlineLevel="0" collapsed="false">
      <c r="A19" s="50" t="n">
        <v>14</v>
      </c>
      <c r="B19" s="50" t="s">
        <v>316</v>
      </c>
    </row>
    <row r="20" customFormat="false" ht="12.75" hidden="false" customHeight="false" outlineLevel="0" collapsed="false">
      <c r="A20" s="50" t="n">
        <v>15</v>
      </c>
      <c r="B20" s="50" t="s">
        <v>317</v>
      </c>
    </row>
    <row r="21" customFormat="false" ht="12.75" hidden="false" customHeight="false" outlineLevel="0" collapsed="false">
      <c r="A21" s="50" t="n">
        <v>16</v>
      </c>
      <c r="B21" s="50"/>
    </row>
    <row r="22" customFormat="false" ht="12.75" hidden="false" customHeight="false" outlineLevel="0" collapsed="false">
      <c r="A22" s="46" t="s">
        <v>111</v>
      </c>
      <c r="B22" s="46"/>
    </row>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112</v>
      </c>
    </row>
    <row r="28" customFormat="false" ht="13.8" hidden="false" customHeight="false" outlineLevel="0" collapsed="false">
      <c r="A28"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M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8" activeCellId="0" sqref="M18"/>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22.18"/>
    <col collapsed="false" customWidth="true" hidden="false" outlineLevel="0" max="3" min="3" style="44" width="12.72"/>
    <col collapsed="false" customWidth="true" hidden="false" outlineLevel="0" max="4" min="4" style="44" width="5.73"/>
    <col collapsed="false" customWidth="true" hidden="false" outlineLevel="0" max="6" min="5" style="44" width="9.91"/>
    <col collapsed="false" customWidth="true" hidden="false" outlineLevel="0" max="9" min="7" style="44" width="18.46"/>
    <col collapsed="false" customWidth="true" hidden="false" outlineLevel="0" max="10" min="10" style="44" width="10.18"/>
    <col collapsed="false" customWidth="true" hidden="false" outlineLevel="0" max="11" min="11" style="44" width="8.45"/>
    <col collapsed="false" customWidth="true" hidden="false" outlineLevel="0" max="13" min="13" style="44" width="45.73"/>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c r="E3" s="46"/>
      <c r="F3" s="46"/>
      <c r="G3" s="46"/>
      <c r="H3" s="46"/>
      <c r="I3" s="46"/>
      <c r="J3" s="46"/>
      <c r="K3" s="46"/>
      <c r="L3" s="46"/>
      <c r="M3" s="46"/>
    </row>
    <row r="4" customFormat="false" ht="12.75" hidden="false" customHeight="false" outlineLevel="0" collapsed="false">
      <c r="A4" s="47" t="s">
        <v>93</v>
      </c>
      <c r="B4" s="47" t="s">
        <v>94</v>
      </c>
      <c r="C4" s="73" t="s">
        <v>318</v>
      </c>
      <c r="D4" s="72" t="s">
        <v>318</v>
      </c>
      <c r="E4" s="47" t="s">
        <v>319</v>
      </c>
      <c r="F4" s="47" t="s">
        <v>320</v>
      </c>
      <c r="G4" s="73" t="s">
        <v>209</v>
      </c>
      <c r="H4" s="73" t="s">
        <v>210</v>
      </c>
      <c r="I4" s="73" t="s">
        <v>210</v>
      </c>
      <c r="J4" s="73" t="s">
        <v>321</v>
      </c>
      <c r="K4" s="72" t="s">
        <v>210</v>
      </c>
      <c r="L4" s="72" t="s">
        <v>322</v>
      </c>
      <c r="M4" s="77" t="s">
        <v>20</v>
      </c>
    </row>
    <row r="5" customFormat="false" ht="12.75" hidden="false" customHeight="false" outlineLevel="0" collapsed="false">
      <c r="A5" s="49" t="s">
        <v>99</v>
      </c>
      <c r="B5" s="49" t="s">
        <v>100</v>
      </c>
      <c r="C5" s="49"/>
      <c r="D5" s="49" t="s">
        <v>220</v>
      </c>
      <c r="E5" s="49" t="s">
        <v>323</v>
      </c>
      <c r="F5" s="49" t="s">
        <v>324</v>
      </c>
      <c r="G5" s="49"/>
      <c r="H5" s="49"/>
      <c r="I5" s="49"/>
      <c r="J5" s="49"/>
      <c r="K5" s="49" t="s">
        <v>221</v>
      </c>
      <c r="L5" s="49" t="s">
        <v>325</v>
      </c>
      <c r="M5" s="49"/>
    </row>
    <row r="6" customFormat="false" ht="12.75" hidden="false" customHeight="false" outlineLevel="0" collapsed="false">
      <c r="A6" s="50" t="n">
        <v>1</v>
      </c>
      <c r="B6" s="50" t="s">
        <v>229</v>
      </c>
      <c r="C6" s="50" t="s">
        <v>167</v>
      </c>
      <c r="D6" s="50" t="n">
        <f aca="true">OFFSET('バフ、デバフ種別'!$A$1,MATCH($C6,'バフ、デバフ種別'!B:B,0)-1,0)</f>
        <v>1</v>
      </c>
      <c r="E6" s="50" t="s">
        <v>167</v>
      </c>
      <c r="F6" s="50" t="s">
        <v>167</v>
      </c>
      <c r="G6" s="50"/>
      <c r="H6" s="50"/>
      <c r="I6" s="50"/>
      <c r="J6" s="50"/>
      <c r="K6" s="50" t="str">
        <f aca="false">"[" &amp; _xlfn.TEXTJOIN(",", 1,   IFERROR(INDEX(ノード!A:A, MATCH($G6, ノード!B:B, 0)), ""),   IFERROR(INDEX(ノード!A:A, MATCH($H6, ノード!B:B, 0)), ""),   IFERROR(INDEX(ノード!A:A, MATCH($I6, ノード!B:B, 0)), "") ) &amp; "]"</f>
        <v>[]</v>
      </c>
      <c r="L6" s="50" t="str">
        <f aca="false">"[" &amp; _xlfn.TEXTJOIN(",", 1,   IFERROR(INDEX(素材!A:A, MATCH($J6, 素材!B:B, 0)), "") ) &amp; "]"</f>
        <v>[]</v>
      </c>
      <c r="M6" s="50" t="str">
        <f aca="false">SUBSTITUTE(SUBSTITUTE(SUBSTITUTE(C6,"{0}",G6),"{1}",E6),"{2}",J6)</f>
        <v>-</v>
      </c>
    </row>
    <row r="7" customFormat="false" ht="12.75" hidden="false" customHeight="false" outlineLevel="0" collapsed="false">
      <c r="A7" s="50" t="n">
        <v>2</v>
      </c>
      <c r="B7" s="50" t="s">
        <v>326</v>
      </c>
      <c r="C7" s="50" t="s">
        <v>327</v>
      </c>
      <c r="D7" s="50" t="n">
        <f aca="true">OFFSET('バフ、デバフ種別'!$A$1,MATCH($C7,'バフ、デバフ種別'!B:B,0)-1,0)</f>
        <v>8</v>
      </c>
      <c r="E7" s="50" t="n">
        <v>5</v>
      </c>
      <c r="F7" s="50" t="s">
        <v>167</v>
      </c>
      <c r="G7" s="50" t="s">
        <v>126</v>
      </c>
      <c r="H7" s="50"/>
      <c r="I7" s="50"/>
      <c r="J7" s="50" t="s">
        <v>103</v>
      </c>
      <c r="K7" s="50" t="str">
        <f aca="false">"[" &amp; _xlfn.TEXTJOIN(",", 1,   IFERROR(INDEX(ノード!A:A, MATCH($G7, ノード!B:B, 0)), ""),   IFERROR(INDEX(ノード!A:A, MATCH($H7, ノード!B:B, 0)), ""),   IFERROR(INDEX(ノード!A:A, MATCH($I7, ノード!B:B, 0)), "") ) &amp; "]"</f>
        <v>[9]</v>
      </c>
      <c r="L7" s="50" t="str">
        <f aca="false">"[" &amp; _xlfn.TEXTJOIN(",", 1,   IFERROR(INDEX(素材!A:A, MATCH($J7, 素材!B:B, 0)), "") ) &amp; "]"</f>
        <v>[0]</v>
      </c>
      <c r="M7" s="50" t="str">
        <f aca="false">SUBSTITUTE(SUBSTITUTE(SUBSTITUTE(C7,"{0}",G7),"{1}",E7),"{2}",J7)</f>
        <v>5回の出力でノードが除去される</v>
      </c>
    </row>
    <row r="8" customFormat="false" ht="12.75" hidden="false" customHeight="false" outlineLevel="0" collapsed="false">
      <c r="A8" s="50" t="n">
        <v>3</v>
      </c>
      <c r="B8" s="50" t="s">
        <v>238</v>
      </c>
      <c r="C8" s="50" t="s">
        <v>328</v>
      </c>
      <c r="D8" s="50" t="n">
        <f aca="true">OFFSET('バフ、デバフ種別'!$A$1,MATCH($C8,'バフ、デバフ種別'!B:B,0)-1,0)</f>
        <v>9</v>
      </c>
      <c r="E8" s="50" t="s">
        <v>167</v>
      </c>
      <c r="F8" s="50" t="s">
        <v>167</v>
      </c>
      <c r="G8" s="50" t="s">
        <v>121</v>
      </c>
      <c r="H8" s="50"/>
      <c r="I8" s="50"/>
      <c r="J8" s="50" t="s">
        <v>103</v>
      </c>
      <c r="K8" s="50" t="str">
        <f aca="false">"[" &amp; _xlfn.TEXTJOIN(",", 1,   IFERROR(INDEX(ノード!A:A, MATCH($G8, ノード!B:B, 0)), ""),   IFERROR(INDEX(ノード!A:A, MATCH($H8, ノード!B:B, 0)), ""),   IFERROR(INDEX(ノード!A:A, MATCH($I8, ノード!B:B, 0)), "") ) &amp; "]"</f>
        <v>[4]</v>
      </c>
      <c r="L8" s="50" t="str">
        <f aca="false">"[" &amp; _xlfn.TEXTJOIN(",", 1,   IFERROR(INDEX(素材!A:A, MATCH($J8, 素材!B:B, 0)), "") ) &amp; "]"</f>
        <v>[0]</v>
      </c>
      <c r="M8" s="50" t="str">
        <f aca="false">SUBSTITUTE(SUBSTITUTE(SUBSTITUTE(C8,"{0}",G8),"{1}",E8),"{2}",J8)</f>
        <v>居住モジュールを作成できるようになります。</v>
      </c>
    </row>
    <row r="9" customFormat="false" ht="12.75" hidden="false" customHeight="false" outlineLevel="0" collapsed="false">
      <c r="A9" s="50" t="n">
        <v>4</v>
      </c>
      <c r="B9" s="50" t="s">
        <v>329</v>
      </c>
      <c r="C9" s="50" t="s">
        <v>328</v>
      </c>
      <c r="D9" s="50" t="n">
        <f aca="true">OFFSET('バフ、デバフ種別'!$A$1,MATCH($C9,'バフ、デバフ種別'!B:B,0)-1,0)</f>
        <v>9</v>
      </c>
      <c r="E9" s="50" t="s">
        <v>167</v>
      </c>
      <c r="F9" s="50" t="s">
        <v>167</v>
      </c>
      <c r="G9" s="50" t="s">
        <v>123</v>
      </c>
      <c r="H9" s="50"/>
      <c r="I9" s="50"/>
      <c r="J9" s="50" t="s">
        <v>103</v>
      </c>
      <c r="K9" s="50" t="str">
        <f aca="false">"[" &amp; _xlfn.TEXTJOIN(",", 1,   IFERROR(INDEX(ノード!A:A, MATCH($G9, ノード!B:B, 0)), ""),   IFERROR(INDEX(ノード!A:A, MATCH($H9, ノード!B:B, 0)), ""),   IFERROR(INDEX(ノード!A:A, MATCH($I9, ノード!B:B, 0)), "") ) &amp; "]"</f>
        <v>[6]</v>
      </c>
      <c r="L9" s="50" t="str">
        <f aca="false">"[" &amp; _xlfn.TEXTJOIN(",", 1,   IFERROR(INDEX(素材!A:A, MATCH($J9, 素材!B:B, 0)), "") ) &amp; "]"</f>
        <v>[0]</v>
      </c>
      <c r="M9" s="50" t="str">
        <f aca="false">SUBSTITUTE(SUBSTITUTE(SUBSTITUTE(C9,"{0}",G9),"{1}",E9),"{2}",J9)</f>
        <v>工場モジュールを作成できるようになります。</v>
      </c>
    </row>
    <row r="10" customFormat="false" ht="12.75" hidden="false" customHeight="false" outlineLevel="0" collapsed="false">
      <c r="A10" s="50" t="n">
        <v>5</v>
      </c>
      <c r="B10" s="50" t="s">
        <v>249</v>
      </c>
      <c r="C10" s="50" t="s">
        <v>328</v>
      </c>
      <c r="D10" s="50" t="n">
        <f aca="true">OFFSET('バフ、デバフ種別'!$A$1,MATCH($C10,'バフ、デバフ種別'!B:B,0)-1,0)</f>
        <v>9</v>
      </c>
      <c r="E10" s="50" t="s">
        <v>167</v>
      </c>
      <c r="F10" s="50" t="s">
        <v>167</v>
      </c>
      <c r="G10" s="50" t="s">
        <v>124</v>
      </c>
      <c r="H10" s="50"/>
      <c r="I10" s="50"/>
      <c r="J10" s="50" t="s">
        <v>103</v>
      </c>
      <c r="K10" s="50" t="str">
        <f aca="false">"[" &amp; _xlfn.TEXTJOIN(",", 1,   IFERROR(INDEX(ノード!A:A, MATCH($G10, ノード!B:B, 0)), ""),   IFERROR(INDEX(ノード!A:A, MATCH($H10, ノード!B:B, 0)), ""),   IFERROR(INDEX(ノード!A:A, MATCH($I10, ノード!B:B, 0)), "") ) &amp; "]"</f>
        <v>[7]</v>
      </c>
      <c r="L10" s="50" t="str">
        <f aca="false">"[" &amp; _xlfn.TEXTJOIN(",", 1,   IFERROR(INDEX(素材!A:A, MATCH($J10, 素材!B:B, 0)), "") ) &amp; "]"</f>
        <v>[0]</v>
      </c>
      <c r="M10" s="50" t="str">
        <f aca="false">SUBSTITUTE(SUBSTITUTE(SUBSTITUTE(C10,"{0}",G10),"{1}",E10),"{2}",J10)</f>
        <v>商業モジュールを作成できるようになります。</v>
      </c>
    </row>
    <row r="11" customFormat="false" ht="12.75" hidden="false" customHeight="false" outlineLevel="0" collapsed="false">
      <c r="A11" s="50" t="n">
        <v>6</v>
      </c>
      <c r="B11" s="50" t="s">
        <v>267</v>
      </c>
      <c r="C11" s="50" t="s">
        <v>328</v>
      </c>
      <c r="D11" s="50" t="n">
        <f aca="true">OFFSET('バフ、デバフ種別'!$A$1,MATCH($C11,'バフ、デバフ種別'!B:B,0)-1,0)</f>
        <v>9</v>
      </c>
      <c r="E11" s="50" t="s">
        <v>167</v>
      </c>
      <c r="F11" s="50" t="s">
        <v>167</v>
      </c>
      <c r="G11" s="50" t="s">
        <v>127</v>
      </c>
      <c r="H11" s="50"/>
      <c r="I11" s="50"/>
      <c r="J11" s="50" t="s">
        <v>103</v>
      </c>
      <c r="K11" s="50" t="str">
        <f aca="false">"[" &amp; _xlfn.TEXTJOIN(",", 1,   IFERROR(INDEX(ノード!A:A, MATCH($G11, ノード!B:B, 0)), ""),   IFERROR(INDEX(ノード!A:A, MATCH($H11, ノード!B:B, 0)), ""),   IFERROR(INDEX(ノード!A:A, MATCH($I11, ノード!B:B, 0)), "") ) &amp; "]"</f>
        <v>[10]</v>
      </c>
      <c r="L11" s="50" t="str">
        <f aca="false">"[" &amp; _xlfn.TEXTJOIN(",", 1,   IFERROR(INDEX(素材!A:A, MATCH($J11, 素材!B:B, 0)), "") ) &amp; "]"</f>
        <v>[0]</v>
      </c>
      <c r="M11" s="50" t="str">
        <f aca="false">SUBSTITUTE(SUBSTITUTE(SUBSTITUTE(C11,"{0}",G11),"{1}",E11),"{2}",J11)</f>
        <v>食品加工モジュールを作成できるようになります。</v>
      </c>
    </row>
    <row r="12" customFormat="false" ht="12.75" hidden="false" customHeight="false" outlineLevel="0" collapsed="false">
      <c r="A12" s="50" t="n">
        <v>7</v>
      </c>
      <c r="B12" s="50" t="s">
        <v>243</v>
      </c>
      <c r="C12" s="50" t="s">
        <v>328</v>
      </c>
      <c r="D12" s="50" t="n">
        <f aca="true">OFFSET('バフ、デバフ種別'!$A$1,MATCH($C12,'バフ、デバフ種別'!B:B,0)-1,0)</f>
        <v>9</v>
      </c>
      <c r="E12" s="50" t="s">
        <v>167</v>
      </c>
      <c r="F12" s="50" t="s">
        <v>167</v>
      </c>
      <c r="G12" s="50" t="s">
        <v>120</v>
      </c>
      <c r="H12" s="50"/>
      <c r="I12" s="50"/>
      <c r="J12" s="50" t="s">
        <v>103</v>
      </c>
      <c r="K12" s="50" t="str">
        <f aca="false">"[" &amp; _xlfn.TEXTJOIN(",", 1,   IFERROR(INDEX(ノード!A:A, MATCH($G12, ノード!B:B, 0)), ""),   IFERROR(INDEX(ノード!A:A, MATCH($H12, ノード!B:B, 0)), ""),   IFERROR(INDEX(ノード!A:A, MATCH($I12, ノード!B:B, 0)), "") ) &amp; "]"</f>
        <v>[3]</v>
      </c>
      <c r="L12" s="50" t="str">
        <f aca="false">"[" &amp; _xlfn.TEXTJOIN(",", 1,   IFERROR(INDEX(素材!A:A, MATCH($J12, 素材!B:B, 0)), "") ) &amp; "]"</f>
        <v>[0]</v>
      </c>
      <c r="M12" s="50" t="str">
        <f aca="false">SUBSTITUTE(SUBSTITUTE(SUBSTITUTE(C12,"{0}",G12),"{1}",E12),"{2}",J12)</f>
        <v>農業モジュールを作成できるようになります。</v>
      </c>
    </row>
    <row r="13" customFormat="false" ht="12.75" hidden="false" customHeight="false" outlineLevel="0" collapsed="false">
      <c r="A13" s="50" t="n">
        <v>8</v>
      </c>
      <c r="B13" s="50" t="s">
        <v>279</v>
      </c>
      <c r="C13" s="50" t="s">
        <v>330</v>
      </c>
      <c r="D13" s="50" t="n">
        <f aca="true">OFFSET('バフ、デバフ種別'!$A$1,MATCH($C13,'バフ、デバフ種別'!B:B,0)-1,0)</f>
        <v>5</v>
      </c>
      <c r="E13" s="50" t="n">
        <v>50</v>
      </c>
      <c r="F13" s="50" t="s">
        <v>167</v>
      </c>
      <c r="G13" s="50" t="s">
        <v>120</v>
      </c>
      <c r="H13" s="50"/>
      <c r="I13" s="50"/>
      <c r="J13" s="50" t="s">
        <v>103</v>
      </c>
      <c r="K13" s="50" t="str">
        <f aca="false">"[" &amp; _xlfn.TEXTJOIN(",", 1,   IFERROR(INDEX(ノード!A:A, MATCH($G13, ノード!B:B, 0)), ""),   IFERROR(INDEX(ノード!A:A, MATCH($H13, ノード!B:B, 0)), ""),   IFERROR(INDEX(ノード!A:A, MATCH($I13, ノード!B:B, 0)), "") ) &amp; "]"</f>
        <v>[3]</v>
      </c>
      <c r="L13" s="50" t="str">
        <f aca="false">"[" &amp; _xlfn.TEXTJOIN(",", 1,   IFERROR(INDEX(素材!A:A, MATCH($J13, 素材!B:B, 0)), "") ) &amp; "]"</f>
        <v>[0]</v>
      </c>
      <c r="M13" s="50" t="str">
        <f aca="false">SUBSTITUTE(SUBSTITUTE(SUBSTITUTE(C13,"{0}",G13),"{1}",E13),"{2}",J13)</f>
        <v>農業モジュールの出力が永久に+50％</v>
      </c>
    </row>
    <row r="14" customFormat="false" ht="12.75" hidden="false" customHeight="false" outlineLevel="0" collapsed="false">
      <c r="A14" s="50" t="n">
        <v>9</v>
      </c>
      <c r="B14" s="50" t="s">
        <v>284</v>
      </c>
      <c r="C14" s="50" t="s">
        <v>330</v>
      </c>
      <c r="D14" s="50" t="n">
        <f aca="true">OFFSET('バフ、デバフ種別'!$A$1,MATCH($C14,'バフ、デバフ種別'!B:B,0)-1,0)</f>
        <v>5</v>
      </c>
      <c r="E14" s="50" t="n">
        <v>50</v>
      </c>
      <c r="F14" s="50" t="s">
        <v>167</v>
      </c>
      <c r="G14" s="50" t="s">
        <v>123</v>
      </c>
      <c r="H14" s="50"/>
      <c r="I14" s="50"/>
      <c r="J14" s="50" t="s">
        <v>103</v>
      </c>
      <c r="K14" s="50" t="str">
        <f aca="false">"[" &amp; _xlfn.TEXTJOIN(",", 1,   IFERROR(INDEX(ノード!A:A, MATCH($G14, ノード!B:B, 0)), ""),   IFERROR(INDEX(ノード!A:A, MATCH($H14, ノード!B:B, 0)), ""),   IFERROR(INDEX(ノード!A:A, MATCH($I14, ノード!B:B, 0)), "") ) &amp; "]"</f>
        <v>[6]</v>
      </c>
      <c r="L14" s="50" t="str">
        <f aca="false">"[" &amp; _xlfn.TEXTJOIN(",", 1,   IFERROR(INDEX(素材!A:A, MATCH($J14, 素材!B:B, 0)), "") ) &amp; "]"</f>
        <v>[0]</v>
      </c>
      <c r="M14" s="50" t="str">
        <f aca="false">SUBSTITUTE(SUBSTITUTE(SUBSTITUTE(C14,"{0}",G14),"{1}",E14),"{2}",J14)</f>
        <v>工場モジュールの出力が永久に+50％</v>
      </c>
    </row>
    <row r="15" customFormat="false" ht="12.75" hidden="false" customHeight="false" outlineLevel="0" collapsed="false">
      <c r="A15" s="50" t="n">
        <v>10</v>
      </c>
      <c r="B15" s="50" t="s">
        <v>288</v>
      </c>
      <c r="C15" s="50" t="s">
        <v>330</v>
      </c>
      <c r="D15" s="50" t="n">
        <f aca="true">OFFSET('バフ、デバフ種別'!$A$1,MATCH($C15,'バフ、デバフ種別'!B:B,0)-1,0)</f>
        <v>5</v>
      </c>
      <c r="E15" s="50" t="n">
        <v>50</v>
      </c>
      <c r="F15" s="50" t="s">
        <v>167</v>
      </c>
      <c r="G15" s="50" t="s">
        <v>124</v>
      </c>
      <c r="H15" s="50"/>
      <c r="I15" s="50"/>
      <c r="J15" s="50" t="s">
        <v>103</v>
      </c>
      <c r="K15" s="50" t="str">
        <f aca="false">"[" &amp; _xlfn.TEXTJOIN(",", 1,   IFERROR(INDEX(ノード!A:A, MATCH($G15, ノード!B:B, 0)), ""),   IFERROR(INDEX(ノード!A:A, MATCH($H15, ノード!B:B, 0)), ""),   IFERROR(INDEX(ノード!A:A, MATCH($I15, ノード!B:B, 0)), "") ) &amp; "]"</f>
        <v>[7]</v>
      </c>
      <c r="L15" s="50" t="str">
        <f aca="false">"[" &amp; _xlfn.TEXTJOIN(",", 1,   IFERROR(INDEX(素材!A:A, MATCH($J15, 素材!B:B, 0)), "") ) &amp; "]"</f>
        <v>[0]</v>
      </c>
      <c r="M15" s="50" t="str">
        <f aca="false">SUBSTITUTE(SUBSTITUTE(SUBSTITUTE(C15,"{0}",G15),"{1}",E15),"{2}",J15)</f>
        <v>商業モジュールの出力が永久に+50％</v>
      </c>
    </row>
    <row r="16" customFormat="false" ht="12.75" hidden="false" customHeight="false" outlineLevel="0" collapsed="false">
      <c r="A16" s="46" t="s">
        <v>111</v>
      </c>
      <c r="B16" s="46"/>
      <c r="C16" s="46"/>
      <c r="D16" s="46"/>
      <c r="E16" s="46"/>
      <c r="F16" s="46"/>
      <c r="G16" s="46"/>
      <c r="H16" s="46"/>
      <c r="I16" s="46"/>
      <c r="J16" s="46"/>
      <c r="K16" s="46"/>
      <c r="L16" s="46"/>
      <c r="M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112</v>
      </c>
    </row>
    <row r="22" customFormat="false" ht="13.8" hidden="false" customHeight="false" outlineLevel="0" collapsed="false">
      <c r="A22" s="44" t="s">
        <v>113</v>
      </c>
    </row>
  </sheetData>
  <dataValidations count="3">
    <dataValidation allowBlank="true" errorStyle="stop" operator="between" showDropDown="false" showErrorMessage="true" showInputMessage="true" sqref="G6:I15" type="list">
      <formula1>ノード!$B$6:$B$210</formula1>
      <formula2>0</formula2>
    </dataValidation>
    <dataValidation allowBlank="true" errorStyle="stop" operator="between" showDropDown="false" showErrorMessage="true" showInputMessage="true" sqref="J6:J15" type="list">
      <formula1>素材!$B$6:$B$108</formula1>
      <formula2>0</formula2>
    </dataValidation>
    <dataValidation allowBlank="true" errorStyle="stop" operator="between" showDropDown="false" showErrorMessage="true" showInputMessage="true" sqref="C6:C15" type="list">
      <formula1>'バフ、デバフ種別'!$B$6:$B$108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D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0" sqref="A5"/>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40.82"/>
    <col collapsed="false" customWidth="true" hidden="false" outlineLevel="0" max="3" min="3" style="44" width="9"/>
    <col collapsed="false" customWidth="true" hidden="false" outlineLevel="0" max="4" min="4" style="44" width="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318</v>
      </c>
      <c r="B4" s="47" t="s">
        <v>331</v>
      </c>
      <c r="C4" s="47" t="s">
        <v>332</v>
      </c>
      <c r="D4" s="47" t="s">
        <v>333</v>
      </c>
    </row>
    <row r="5" customFormat="false" ht="12.75" hidden="false" customHeight="false" outlineLevel="0" collapsed="false">
      <c r="A5" s="49" t="s">
        <v>334</v>
      </c>
      <c r="B5" s="49" t="s">
        <v>160</v>
      </c>
      <c r="C5" s="49" t="s">
        <v>335</v>
      </c>
      <c r="D5" s="49" t="s">
        <v>336</v>
      </c>
    </row>
    <row r="6" customFormat="false" ht="12.75" hidden="false" customHeight="false" outlineLevel="0" collapsed="false">
      <c r="A6" s="50" t="n">
        <v>1</v>
      </c>
      <c r="B6" s="50" t="s">
        <v>167</v>
      </c>
      <c r="C6" s="50" t="s">
        <v>167</v>
      </c>
      <c r="D6" s="50" t="s">
        <v>167</v>
      </c>
    </row>
    <row r="7" customFormat="false" ht="12.75" hidden="false" customHeight="false" outlineLevel="0" collapsed="false">
      <c r="A7" s="50" t="n">
        <v>2</v>
      </c>
      <c r="B7" s="50" t="s">
        <v>337</v>
      </c>
      <c r="C7" s="50" t="n">
        <v>1</v>
      </c>
      <c r="D7" s="50" t="n">
        <v>100</v>
      </c>
    </row>
    <row r="8" customFormat="false" ht="12.75" hidden="false" customHeight="false" outlineLevel="0" collapsed="false">
      <c r="A8" s="50" t="n">
        <v>3</v>
      </c>
      <c r="B8" s="50" t="s">
        <v>338</v>
      </c>
      <c r="C8" s="50" t="n">
        <v>1</v>
      </c>
      <c r="D8" s="50" t="n">
        <v>100</v>
      </c>
    </row>
    <row r="9" customFormat="false" ht="12.75" hidden="false" customHeight="false" outlineLevel="0" collapsed="false">
      <c r="A9" s="50" t="n">
        <v>4</v>
      </c>
      <c r="B9" s="50" t="s">
        <v>339</v>
      </c>
      <c r="C9" s="50" t="n">
        <v>-1</v>
      </c>
      <c r="D9" s="50" t="n">
        <v>3</v>
      </c>
    </row>
    <row r="10" customFormat="false" ht="12.75" hidden="false" customHeight="false" outlineLevel="0" collapsed="false">
      <c r="A10" s="50" t="n">
        <v>5</v>
      </c>
      <c r="B10" s="50" t="s">
        <v>330</v>
      </c>
      <c r="C10" s="50" t="n">
        <v>1</v>
      </c>
      <c r="D10" s="50" t="n">
        <v>3</v>
      </c>
    </row>
    <row r="11" customFormat="false" ht="12.75" hidden="false" customHeight="false" outlineLevel="0" collapsed="false">
      <c r="A11" s="50" t="n">
        <v>6</v>
      </c>
      <c r="B11" s="50" t="s">
        <v>340</v>
      </c>
      <c r="C11" s="50" t="n">
        <v>1</v>
      </c>
      <c r="D11" s="50" t="n">
        <v>2</v>
      </c>
    </row>
    <row r="12" customFormat="false" ht="12.75" hidden="false" customHeight="false" outlineLevel="0" collapsed="false">
      <c r="A12" s="50" t="n">
        <v>7</v>
      </c>
      <c r="B12" s="50" t="s">
        <v>341</v>
      </c>
      <c r="C12" s="50" t="n">
        <v>-1</v>
      </c>
      <c r="D12" s="50" t="n">
        <v>1</v>
      </c>
    </row>
    <row r="13" customFormat="false" ht="12.75" hidden="false" customHeight="false" outlineLevel="0" collapsed="false">
      <c r="A13" s="50" t="n">
        <v>8</v>
      </c>
      <c r="B13" s="50" t="s">
        <v>327</v>
      </c>
      <c r="C13" s="50" t="n">
        <v>0</v>
      </c>
      <c r="D13" s="50" t="n">
        <v>3</v>
      </c>
    </row>
    <row r="14" customFormat="false" ht="12.75" hidden="false" customHeight="false" outlineLevel="0" collapsed="false">
      <c r="A14" s="50" t="n">
        <v>9</v>
      </c>
      <c r="B14" s="50" t="s">
        <v>328</v>
      </c>
      <c r="C14" s="50" t="n">
        <v>0</v>
      </c>
      <c r="D14" s="50" t="n">
        <v>100</v>
      </c>
    </row>
    <row r="15" customFormat="false" ht="12.75" hidden="false" customHeight="false" outlineLevel="0" collapsed="false">
      <c r="A15" s="46" t="s">
        <v>111</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s="44" customFormat="true" ht="13.8" hidden="false" customHeight="false" outlineLevel="0" collapsed="false"/>
    <row r="20" s="44" customFormat="true" ht="13.8" hidden="false" customHeight="false" outlineLevel="0" collapsed="false">
      <c r="A20" s="59" t="s">
        <v>112</v>
      </c>
    </row>
    <row r="21" customFormat="false" ht="13.8" hidden="false" customHeight="false" outlineLevel="0" collapsed="false">
      <c r="A21" s="44" t="s">
        <v>342</v>
      </c>
    </row>
  </sheetData>
  <conditionalFormatting sqref="C7:C14">
    <cfRule type="iconSet" priority="2">
      <iconSet iconSet="3Arrows">
        <cfvo type="percent" val="0"/>
        <cfvo type="percent" val="33"/>
        <cfvo type="percent" val="67"/>
      </iconSet>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extLst>
    <ext xmlns:x14="http://schemas.microsoft.com/office/spreadsheetml/2009/9/main" uri="{78C0D931-6437-407d-A8EE-F0AAD7539E65}">
      <x14:conditionalFormattings>
        <x14:conditionalFormatting xmlns:xm="http://schemas.microsoft.com/office/excel/2006/main">
          <x14:cfRule type="iconSet" priority="3" id="{457091E0-10DF-4439-9FB0-FC3E80F4EEAD}">
            <x14:iconSet iconSet="3Triangles" reverse="0" showValue="1">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
  <TotalTime>28</TotalTime>
  <Application>LibreOffice/25.8.4.2$Windows_X86_64 LibreOffice_project/290daaa01b999472f0c7a3890eb6a550fd74c6df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
  <dc:description/>
  <dc:language>ja-JP</dc:language>
  <cp:lastModifiedBy/>
  <dcterms:modified xsi:type="dcterms:W3CDTF">2026-02-20T11:59:24Z</dcterms:modified>
  <cp:revision>7</cp:revision>
  <dc:subject/>
  <dc:title/>
</cp:coreProperties>
</file>

<file path=docProps/custom.xml><?xml version="1.0" encoding="utf-8"?>
<Properties xmlns="http://schemas.openxmlformats.org/officeDocument/2006/custom-properties" xmlns:vt="http://schemas.openxmlformats.org/officeDocument/2006/docPropsVTypes"/>
</file>