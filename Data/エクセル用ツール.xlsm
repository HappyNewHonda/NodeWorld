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6" codeName="{DD97A8EA-9A9A-E61F-A557-7D5A7D7259CE}"/>
  <workbookPr saveExternalLinkValues="0" codeName="ThisWorkbook" defaultThemeVersion="124226"/>
  <mc:AlternateContent xmlns:mc="http://schemas.openxmlformats.org/markup-compatibility/2006">
    <mc:Choice Requires="x15">
      <x15ac:absPath xmlns:x15ac="http://schemas.microsoft.com/office/spreadsheetml/2010/11/ac" url="C:\Subversion\MobileProject\NodeWorld\Data\"/>
    </mc:Choice>
  </mc:AlternateContent>
  <xr:revisionPtr revIDLastSave="0" documentId="13_ncr:1_{D6997F9D-861D-4C8C-A58D-C34B54657A6E}" xr6:coauthVersionLast="47" xr6:coauthVersionMax="47" xr10:uidLastSave="{00000000-0000-0000-0000-000000000000}"/>
  <bookViews>
    <workbookView xWindow="10830" yWindow="2470" windowWidth="21460" windowHeight="17700" tabRatio="835" activeTab="4" xr2:uid="{00000000-000D-0000-FFFF-FFFF00000000}"/>
  </bookViews>
  <sheets>
    <sheet name="ツール導入方法" sheetId="50" r:id="rId1"/>
    <sheet name="出力ツール" sheetId="24" r:id="rId2"/>
    <sheet name="集約ツール" sheetId="46" r:id="rId3"/>
    <sheet name="HTML変換" sheetId="51" r:id="rId4"/>
    <sheet name="IDクラス出力ツール" sheetId="52" r:id="rId5"/>
    <sheet name="JSON出力ツール" sheetId="53" r:id="rId6"/>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 i="53" l="1"/>
  <c r="F6" i="52"/>
  <c r="D6" i="51"/>
  <c r="L17" i="46"/>
  <c r="N18" i="46"/>
  <c r="N19" i="46"/>
  <c r="N20" i="46"/>
  <c r="N17" i="46"/>
  <c r="L18" i="46"/>
  <c r="L19" i="46"/>
  <c r="L20" i="46"/>
  <c r="E6" i="46"/>
  <c r="D6" i="24"/>
</calcChain>
</file>

<file path=xl/sharedStrings.xml><?xml version="1.0" encoding="utf-8"?>
<sst xmlns="http://schemas.openxmlformats.org/spreadsheetml/2006/main" count="249" uniqueCount="188">
  <si>
    <t>出力名</t>
    <rPh sb="0" eb="2">
      <t>シュツリョク</t>
    </rPh>
    <rPh sb="2" eb="3">
      <t>メイ</t>
    </rPh>
    <phoneticPr fontId="1"/>
  </si>
  <si>
    <t>CSV、テキスト出力ツール</t>
    <rPh sb="8" eb="10">
      <t>シュツリョク</t>
    </rPh>
    <phoneticPr fontId="1"/>
  </si>
  <si>
    <t>出力シート名</t>
    <rPh sb="0" eb="2">
      <t>シュツリョク</t>
    </rPh>
    <rPh sb="5" eb="6">
      <t>メイ</t>
    </rPh>
    <phoneticPr fontId="1"/>
  </si>
  <si>
    <t>参照シート名</t>
    <rPh sb="0" eb="2">
      <t>サンショウ</t>
    </rPh>
    <rPh sb="5" eb="6">
      <t>メイ</t>
    </rPh>
    <phoneticPr fontId="1"/>
  </si>
  <si>
    <t>参照エクセル名</t>
    <rPh sb="0" eb="2">
      <t>サンショウ</t>
    </rPh>
    <rPh sb="6" eb="7">
      <t>メイ</t>
    </rPh>
    <phoneticPr fontId="1"/>
  </si>
  <si>
    <t>マクロ集約ツール</t>
    <rPh sb="3" eb="5">
      <t>シュウヤク</t>
    </rPh>
    <phoneticPr fontId="1"/>
  </si>
  <si>
    <t>出力設定</t>
    <rPh sb="0" eb="2">
      <t>シュツリョク</t>
    </rPh>
    <rPh sb="2" eb="4">
      <t>セッテイ</t>
    </rPh>
    <phoneticPr fontId="1"/>
  </si>
  <si>
    <t>セキュリティで、マクロが無効になる場合。</t>
    <rPh sb="12" eb="14">
      <t>ムコウ</t>
    </rPh>
    <rPh sb="17" eb="19">
      <t>バアイ</t>
    </rPh>
    <phoneticPr fontId="1"/>
  </si>
  <si>
    <t>決して、セキュリティレベルを下げて動くようにしないでください！</t>
    <rPh sb="0" eb="1">
      <t>ケッ</t>
    </rPh>
    <rPh sb="14" eb="15">
      <t>サ</t>
    </rPh>
    <rPh sb="17" eb="18">
      <t>ウゴ</t>
    </rPh>
    <phoneticPr fontId="1"/>
  </si>
  <si>
    <t>「証明書のインストール」をクリック。</t>
    <rPh sb="1" eb="4">
      <t>ショウメイショ</t>
    </rPh>
    <phoneticPr fontId="1"/>
  </si>
  <si>
    <t>「署名の詳細を表示」をクリック。</t>
    <rPh sb="1" eb="3">
      <t>ショメイ</t>
    </rPh>
    <rPh sb="4" eb="6">
      <t>ショウサイ</t>
    </rPh>
    <phoneticPr fontId="1"/>
  </si>
  <si>
    <t>「証明書の表示」をクリック。</t>
    <rPh sb="1" eb="4">
      <t>ショウメイショ</t>
    </rPh>
    <rPh sb="5" eb="7">
      <t>ヒョウジ</t>
    </rPh>
    <phoneticPr fontId="1"/>
  </si>
  <si>
    <t>証明書をすべて次のストアに配置するを選択し、参照ボタンを押します。</t>
    <rPh sb="0" eb="3">
      <t>ショウメイショ</t>
    </rPh>
    <rPh sb="7" eb="8">
      <t>ツギ</t>
    </rPh>
    <rPh sb="13" eb="15">
      <t>ハイチ</t>
    </rPh>
    <rPh sb="18" eb="20">
      <t>センタク</t>
    </rPh>
    <rPh sb="22" eb="24">
      <t>サンショウ</t>
    </rPh>
    <rPh sb="28" eb="29">
      <t>オ</t>
    </rPh>
    <phoneticPr fontId="1"/>
  </si>
  <si>
    <t>次へボタンを押すと、ダイアログが出てきます。</t>
    <rPh sb="0" eb="1">
      <t>ツギ</t>
    </rPh>
    <rPh sb="6" eb="7">
      <t>オ</t>
    </rPh>
    <rPh sb="16" eb="17">
      <t>デ</t>
    </rPh>
    <phoneticPr fontId="1"/>
  </si>
  <si>
    <t>新しいダイアログが出てくるので、信頼されたルート証明機関を選択し、OKを押してください。</t>
    <rPh sb="0" eb="1">
      <t>アタラ</t>
    </rPh>
    <rPh sb="9" eb="10">
      <t>デ</t>
    </rPh>
    <rPh sb="16" eb="18">
      <t>シンライ</t>
    </rPh>
    <rPh sb="24" eb="26">
      <t>ショウメイ</t>
    </rPh>
    <rPh sb="26" eb="28">
      <t>キカン</t>
    </rPh>
    <rPh sb="29" eb="31">
      <t>センタク</t>
    </rPh>
    <rPh sb="36" eb="37">
      <t>オ</t>
    </rPh>
    <phoneticPr fontId="1"/>
  </si>
  <si>
    <t>後は、指示に従い「OK」「完了」を押してください。</t>
    <rPh sb="0" eb="1">
      <t>アト</t>
    </rPh>
    <rPh sb="3" eb="5">
      <t>シジ</t>
    </rPh>
    <rPh sb="6" eb="7">
      <t>シタガ</t>
    </rPh>
    <rPh sb="13" eb="15">
      <t>カンリョウ</t>
    </rPh>
    <rPh sb="17" eb="18">
      <t>オ</t>
    </rPh>
    <phoneticPr fontId="1"/>
  </si>
  <si>
    <t>全て出てくるものに関しては「OK」を貫き通してください。</t>
    <rPh sb="0" eb="1">
      <t>スベ</t>
    </rPh>
    <rPh sb="2" eb="3">
      <t>デ</t>
    </rPh>
    <rPh sb="9" eb="10">
      <t>カン</t>
    </rPh>
    <rPh sb="18" eb="19">
      <t>ツラヌ</t>
    </rPh>
    <rPh sb="20" eb="21">
      <t>トオ</t>
    </rPh>
    <phoneticPr fontId="1"/>
  </si>
  <si>
    <t>ここまで終えて、不要なダイアログを閉じていくと、</t>
    <rPh sb="4" eb="5">
      <t>オ</t>
    </rPh>
    <rPh sb="8" eb="10">
      <t>フヨウ</t>
    </rPh>
    <rPh sb="17" eb="18">
      <t>ト</t>
    </rPh>
    <phoneticPr fontId="1"/>
  </si>
  <si>
    <t>②で表示されていた、セキュリティオプションのダイアログの</t>
    <rPh sb="2" eb="4">
      <t>ヒョウジ</t>
    </rPh>
    <phoneticPr fontId="1"/>
  </si>
  <si>
    <t>「不明なコンテンツから保護する」のラジオボタン部分に</t>
    <rPh sb="1" eb="3">
      <t>フメイ</t>
    </rPh>
    <rPh sb="11" eb="13">
      <t>ホゴ</t>
    </rPh>
    <rPh sb="23" eb="25">
      <t>ブブン</t>
    </rPh>
    <phoneticPr fontId="1"/>
  </si>
  <si>
    <t>新たな選択肢が追加されています。</t>
    <rPh sb="0" eb="1">
      <t>アラ</t>
    </rPh>
    <rPh sb="3" eb="6">
      <t>センタクシ</t>
    </rPh>
    <rPh sb="7" eb="9">
      <t>ツイカ</t>
    </rPh>
    <phoneticPr fontId="1"/>
  </si>
  <si>
    <t>その中の一番下の選択肢を選択し、OKを押してください。</t>
    <rPh sb="2" eb="3">
      <t>ナカ</t>
    </rPh>
    <rPh sb="4" eb="6">
      <t>イチバン</t>
    </rPh>
    <rPh sb="6" eb="7">
      <t>シタ</t>
    </rPh>
    <rPh sb="8" eb="11">
      <t>センタクシ</t>
    </rPh>
    <rPh sb="12" eb="14">
      <t>センタク</t>
    </rPh>
    <rPh sb="19" eb="20">
      <t>オ</t>
    </rPh>
    <phoneticPr fontId="1"/>
  </si>
  <si>
    <t>以上で設定は終わりです。</t>
    <rPh sb="0" eb="2">
      <t>イジョウ</t>
    </rPh>
    <rPh sb="3" eb="5">
      <t>セッテイ</t>
    </rPh>
    <rPh sb="6" eb="7">
      <t>オ</t>
    </rPh>
    <phoneticPr fontId="1"/>
  </si>
  <si>
    <t>⑥</t>
    <phoneticPr fontId="1"/>
  </si>
  <si>
    <t>⑤</t>
    <phoneticPr fontId="1"/>
  </si>
  <si>
    <t>④</t>
    <phoneticPr fontId="1"/>
  </si>
  <si>
    <t>③</t>
    <phoneticPr fontId="1"/>
  </si>
  <si>
    <t>②</t>
    <phoneticPr fontId="1"/>
  </si>
  <si>
    <t>「オプション」をクリックします。</t>
    <phoneticPr fontId="1"/>
  </si>
  <si>
    <t>①</t>
    <phoneticPr fontId="1"/>
  </si>
  <si>
    <t>シートの位置は、後々でも移動できるので、適当で大丈夫です。</t>
    <rPh sb="4" eb="6">
      <t>イチ</t>
    </rPh>
    <rPh sb="8" eb="10">
      <t>ノチノチ</t>
    </rPh>
    <rPh sb="12" eb="14">
      <t>イドウ</t>
    </rPh>
    <rPh sb="20" eb="22">
      <t>テキトウ</t>
    </rPh>
    <rPh sb="23" eb="26">
      <t>ダイジョウブ</t>
    </rPh>
    <phoneticPr fontId="1"/>
  </si>
  <si>
    <t>コピーを作成するにチェックを入れて「OK」を押します。</t>
    <rPh sb="4" eb="6">
      <t>サクセイ</t>
    </rPh>
    <rPh sb="14" eb="15">
      <t>イ</t>
    </rPh>
    <rPh sb="22" eb="23">
      <t>オ</t>
    </rPh>
    <phoneticPr fontId="1"/>
  </si>
  <si>
    <t>移動先ブック名から、エクセルを選択し、</t>
    <rPh sb="0" eb="2">
      <t>イドウ</t>
    </rPh>
    <rPh sb="2" eb="3">
      <t>サキ</t>
    </rPh>
    <rPh sb="6" eb="7">
      <t>メイ</t>
    </rPh>
    <rPh sb="15" eb="17">
      <t>センタク</t>
    </rPh>
    <phoneticPr fontId="1"/>
  </si>
  <si>
    <t>どのエクセルで使用したいかを選択します。</t>
    <rPh sb="7" eb="9">
      <t>シヨウ</t>
    </rPh>
    <rPh sb="14" eb="16">
      <t>センタク</t>
    </rPh>
    <phoneticPr fontId="1"/>
  </si>
  <si>
    <t>移動またはコピーを選びます。</t>
    <rPh sb="0" eb="2">
      <t>イドウ</t>
    </rPh>
    <rPh sb="9" eb="10">
      <t>エラ</t>
    </rPh>
    <phoneticPr fontId="1"/>
  </si>
  <si>
    <t>今後ツールを使用するときは、</t>
    <rPh sb="0" eb="2">
      <t>コンゴ</t>
    </rPh>
    <rPh sb="6" eb="8">
      <t>シヨウ</t>
    </rPh>
    <phoneticPr fontId="1"/>
  </si>
  <si>
    <t>「エクセル用ツール.xlsm」と、ツールを使用するエクセルは</t>
    <rPh sb="5" eb="6">
      <t>ヨウ</t>
    </rPh>
    <rPh sb="21" eb="23">
      <t>シヨウ</t>
    </rPh>
    <phoneticPr fontId="1"/>
  </si>
  <si>
    <t>両方立ち上げておく必要があります。</t>
    <rPh sb="0" eb="2">
      <t>リョウホウ</t>
    </rPh>
    <rPh sb="2" eb="3">
      <t>タ</t>
    </rPh>
    <rPh sb="4" eb="5">
      <t>ア</t>
    </rPh>
    <rPh sb="9" eb="11">
      <t>ヒツヨウ</t>
    </rPh>
    <phoneticPr fontId="1"/>
  </si>
  <si>
    <t>立ち上げ忘れが多い場合、ハイパーリンクを付けておくと便利です。</t>
    <rPh sb="0" eb="1">
      <t>タ</t>
    </rPh>
    <rPh sb="2" eb="3">
      <t>ア</t>
    </rPh>
    <rPh sb="4" eb="5">
      <t>ワス</t>
    </rPh>
    <rPh sb="7" eb="8">
      <t>オオ</t>
    </rPh>
    <rPh sb="9" eb="11">
      <t>バアイ</t>
    </rPh>
    <rPh sb="20" eb="21">
      <t>ツ</t>
    </rPh>
    <rPh sb="26" eb="28">
      <t>ベンリ</t>
    </rPh>
    <phoneticPr fontId="1"/>
  </si>
  <si>
    <t>ハイパーリンクは、右クリックで作成でき、</t>
    <rPh sb="9" eb="10">
      <t>ミギ</t>
    </rPh>
    <rPh sb="15" eb="17">
      <t>サクセイ</t>
    </rPh>
    <phoneticPr fontId="1"/>
  </si>
  <si>
    <t>指定したファイルを、ワンクリックで開けるようになります。</t>
    <rPh sb="0" eb="2">
      <t>シテイ</t>
    </rPh>
    <rPh sb="17" eb="18">
      <t>ヒラ</t>
    </rPh>
    <phoneticPr fontId="1"/>
  </si>
  <si>
    <t>※4/27 Windows7だと、ボタンを押すと自動的に立ち上がることがわかりました。</t>
    <rPh sb="21" eb="22">
      <t>オ</t>
    </rPh>
    <rPh sb="24" eb="27">
      <t>ジドウテキ</t>
    </rPh>
    <rPh sb="28" eb="29">
      <t>タ</t>
    </rPh>
    <rPh sb="30" eb="31">
      <t>ア</t>
    </rPh>
    <phoneticPr fontId="1"/>
  </si>
  <si>
    <t>エクセル用ツール.xlsm</t>
  </si>
  <si>
    <t>例）セルを右クリック</t>
    <rPh sb="0" eb="1">
      <t>レイ</t>
    </rPh>
    <rPh sb="5" eb="6">
      <t>ミギ</t>
    </rPh>
    <phoneticPr fontId="1"/>
  </si>
  <si>
    <t>例） 図形を右クリック</t>
    <rPh sb="0" eb="1">
      <t>レイ</t>
    </rPh>
    <rPh sb="3" eb="5">
      <t>ズケイ</t>
    </rPh>
    <rPh sb="6" eb="7">
      <t>ミギ</t>
    </rPh>
    <phoneticPr fontId="1"/>
  </si>
  <si>
    <t>※エクセル名、シート名や、ファイル名には半角スペースを使用しないでください。</t>
    <rPh sb="5" eb="6">
      <t>メイ</t>
    </rPh>
    <phoneticPr fontId="1"/>
  </si>
  <si>
    <t>※出力シート名は、半角/全角問わず31文字以下に設定してください。</t>
    <rPh sb="1" eb="3">
      <t>シュツリョク</t>
    </rPh>
    <rPh sb="9" eb="11">
      <t>ハンカク</t>
    </rPh>
    <rPh sb="12" eb="14">
      <t>ゼンカク</t>
    </rPh>
    <rPh sb="14" eb="15">
      <t>ト</t>
    </rPh>
    <rPh sb="19" eb="21">
      <t>モジ</t>
    </rPh>
    <rPh sb="21" eb="23">
      <t>イカ</t>
    </rPh>
    <rPh sb="24" eb="26">
      <t>セッテイ</t>
    </rPh>
    <phoneticPr fontId="1"/>
  </si>
  <si>
    <t>注意</t>
    <rPh sb="0" eb="2">
      <t>チュウイ</t>
    </rPh>
    <phoneticPr fontId="1"/>
  </si>
  <si>
    <t>説明</t>
    <rPh sb="0" eb="2">
      <t>セツメイ</t>
    </rPh>
    <phoneticPr fontId="1"/>
  </si>
  <si>
    <t>出力名に、出力するときのファイル名を指定します。</t>
  </si>
  <si>
    <t>12/4/17 追加</t>
  </si>
  <si>
    <t>「+」で出力設定をつなげることで、複数のシートから1つのデータを出力できるように変更しました。</t>
  </si>
  <si>
    <t>「+sort」でB～F列をソートしするようにしました。</t>
  </si>
  <si>
    <t>「+inc」でA列を1から順に連番を振るようにしました。</t>
  </si>
  <si>
    <t>出力設定に、出力したいシートの名前を設定します。</t>
    <rPh sb="18" eb="20">
      <t>セッテイ</t>
    </rPh>
    <phoneticPr fontId="1"/>
  </si>
  <si>
    <t>実行ボタンを押すと、指定したシートの中の、</t>
    <phoneticPr fontId="1"/>
  </si>
  <si>
    <r>
      <t>「</t>
    </r>
    <r>
      <rPr>
        <b/>
        <sz val="10"/>
        <color theme="1"/>
        <rFont val="ＭＳ Ｐゴシック"/>
        <family val="3"/>
        <charset val="128"/>
        <scheme val="minor"/>
      </rPr>
      <t>ここから</t>
    </r>
    <r>
      <rPr>
        <sz val="10"/>
        <color theme="1"/>
        <rFont val="ＭＳ Ｐゴシック"/>
        <family val="2"/>
        <charset val="128"/>
        <scheme val="minor"/>
      </rPr>
      <t>」行から、「</t>
    </r>
    <r>
      <rPr>
        <b/>
        <sz val="10"/>
        <color theme="1"/>
        <rFont val="ＭＳ Ｐゴシック"/>
        <family val="3"/>
        <charset val="128"/>
        <scheme val="minor"/>
      </rPr>
      <t>ここまで</t>
    </r>
    <r>
      <rPr>
        <sz val="10"/>
        <color theme="1"/>
        <rFont val="ＭＳ Ｐゴシック"/>
        <family val="2"/>
        <charset val="128"/>
        <scheme val="minor"/>
      </rPr>
      <t>」の、行の間の白色の列の取ってきます。</t>
    </r>
    <phoneticPr fontId="1"/>
  </si>
  <si>
    <t>白色の列以外からとりたい場合は、出力設定のセルの色を変更することで、</t>
    <rPh sb="16" eb="18">
      <t>シュツリョク</t>
    </rPh>
    <rPh sb="18" eb="20">
      <t>セッテイ</t>
    </rPh>
    <phoneticPr fontId="1"/>
  </si>
  <si>
    <t>設定した色の列を出力するようになります。</t>
    <rPh sb="0" eb="2">
      <t>セッテイ</t>
    </rPh>
    <phoneticPr fontId="1"/>
  </si>
  <si>
    <t>色ではなく、セルを直接指定したい場合は、</t>
    <phoneticPr fontId="1"/>
  </si>
  <si>
    <t>シート名の後ろに「!」を入力し、そのあとカンマ区切りで列の名称を入力すれば、</t>
    <phoneticPr fontId="1"/>
  </si>
  <si>
    <t>その入力順に出力します。（例：sheet1!B,C,A)</t>
    <phoneticPr fontId="1"/>
  </si>
  <si>
    <t>「!」以降であれば、スペース、改行は自由にして大丈夫です。</t>
    <phoneticPr fontId="1"/>
  </si>
  <si>
    <t>追加</t>
    <rPh sb="0" eb="2">
      <t>ツイカ</t>
    </rPh>
    <phoneticPr fontId="1"/>
  </si>
  <si>
    <t>参照エクセルに、マクロのもとになるエクセルのパスを、</t>
    <phoneticPr fontId="1"/>
  </si>
  <si>
    <t>参照シート名に、参照するシート名と、列の指定、</t>
    <phoneticPr fontId="1"/>
  </si>
  <si>
    <t>列の指定は、シート名の後ろに「!」を入力し、</t>
    <phoneticPr fontId="1"/>
  </si>
  <si>
    <t>そのあとカンマ区切りで列の名称を入力。（例：sheet1!B,C,A)</t>
  </si>
  <si>
    <t>出力ツールは、エクセルの一部を切り出し、組み合わせて</t>
    <rPh sb="0" eb="2">
      <t>シュツリョク</t>
    </rPh>
    <rPh sb="12" eb="14">
      <t>イチブ</t>
    </rPh>
    <rPh sb="15" eb="16">
      <t>キ</t>
    </rPh>
    <rPh sb="17" eb="18">
      <t>ダ</t>
    </rPh>
    <rPh sb="20" eb="21">
      <t>ク</t>
    </rPh>
    <rPh sb="22" eb="23">
      <t>ア</t>
    </rPh>
    <phoneticPr fontId="1"/>
  </si>
  <si>
    <t>一つのデータとしてまとめるツールです。</t>
    <rPh sb="0" eb="1">
      <t>ヒト</t>
    </rPh>
    <phoneticPr fontId="1"/>
  </si>
  <si>
    <t>その中に、UTF-8、BOMなしのcsvファイルを出力していきます。</t>
    <rPh sb="2" eb="3">
      <t>ナカ</t>
    </rPh>
    <rPh sb="25" eb="27">
      <t>シュツリョク</t>
    </rPh>
    <phoneticPr fontId="1"/>
  </si>
  <si>
    <t>まとめられたデータは、エクセルと同じ階層に「csv」のフォルダを作成し、</t>
    <rPh sb="16" eb="17">
      <t>オナ</t>
    </rPh>
    <rPh sb="18" eb="20">
      <t>カイソウ</t>
    </rPh>
    <rPh sb="32" eb="34">
      <t>サクセイ</t>
    </rPh>
    <phoneticPr fontId="1"/>
  </si>
  <si>
    <t>使用方法</t>
    <rPh sb="0" eb="2">
      <t>シヨウ</t>
    </rPh>
    <rPh sb="2" eb="4">
      <t>ホウホウ</t>
    </rPh>
    <phoneticPr fontId="1"/>
  </si>
  <si>
    <t>集約ツールは、別ファイルのエクセルから必要な列をコピーして、</t>
    <rPh sb="0" eb="2">
      <t>シュウヤク</t>
    </rPh>
    <rPh sb="7" eb="8">
      <t>ベツ</t>
    </rPh>
    <phoneticPr fontId="1"/>
  </si>
  <si>
    <t>新しいシートとしてまとめるツールです。</t>
    <rPh sb="0" eb="1">
      <t>アタラ</t>
    </rPh>
    <phoneticPr fontId="1"/>
  </si>
  <si>
    <t>下記のような、名称からIDを出力する関数などを使う場合、</t>
    <rPh sb="0" eb="2">
      <t>カキ</t>
    </rPh>
    <rPh sb="7" eb="9">
      <t>メイショウ</t>
    </rPh>
    <rPh sb="14" eb="16">
      <t>シュツリョク</t>
    </rPh>
    <rPh sb="18" eb="20">
      <t>カンスウ</t>
    </rPh>
    <rPh sb="23" eb="24">
      <t>ツカ</t>
    </rPh>
    <rPh sb="25" eb="27">
      <t>バアイ</t>
    </rPh>
    <phoneticPr fontId="1"/>
  </si>
  <si>
    <t>他のエクセルでIDを振りなおしたり、名称を変更した等の更新に</t>
    <rPh sb="0" eb="1">
      <t>ホカ</t>
    </rPh>
    <rPh sb="10" eb="11">
      <t>フ</t>
    </rPh>
    <rPh sb="18" eb="20">
      <t>メイショウ</t>
    </rPh>
    <rPh sb="21" eb="23">
      <t>ヘンコウ</t>
    </rPh>
    <rPh sb="25" eb="26">
      <t>ナド</t>
    </rPh>
    <rPh sb="27" eb="29">
      <t>コウシン</t>
    </rPh>
    <phoneticPr fontId="1"/>
  </si>
  <si>
    <t>素早く対応するために使用します。</t>
  </si>
  <si>
    <t>ID</t>
    <phoneticPr fontId="1"/>
  </si>
  <si>
    <t>名称</t>
    <rPh sb="0" eb="2">
      <t>メイショウ</t>
    </rPh>
    <phoneticPr fontId="1"/>
  </si>
  <si>
    <t>おこし</t>
    <phoneticPr fontId="1"/>
  </si>
  <si>
    <t>につけ</t>
    <phoneticPr fontId="1"/>
  </si>
  <si>
    <t>たきび</t>
    <phoneticPr fontId="1"/>
  </si>
  <si>
    <t>だんご</t>
    <phoneticPr fontId="1"/>
  </si>
  <si>
    <t>集約ツールで出力したデータ</t>
    <rPh sb="0" eb="2">
      <t>シュウヤク</t>
    </rPh>
    <rPh sb="6" eb="8">
      <t>シュツリョク</t>
    </rPh>
    <phoneticPr fontId="1"/>
  </si>
  <si>
    <t>IDから名称を出す</t>
    <rPh sb="4" eb="6">
      <t>メイショウ</t>
    </rPh>
    <rPh sb="7" eb="8">
      <t>ダ</t>
    </rPh>
    <phoneticPr fontId="1"/>
  </si>
  <si>
    <t>名称からIDを出す</t>
    <rPh sb="0" eb="2">
      <t>メイショウ</t>
    </rPh>
    <rPh sb="7" eb="8">
      <t>ダ</t>
    </rPh>
    <phoneticPr fontId="1"/>
  </si>
  <si>
    <t>にもの</t>
    <phoneticPr fontId="1"/>
  </si>
  <si>
    <t>OFFSET($Q$1,MATCH(K16,Q:Q,0)-1, 1)</t>
  </si>
  <si>
    <t>上記のような参照型の命令は、「=」の後に下記命令を入力します。</t>
    <rPh sb="0" eb="2">
      <t>ジョウキ</t>
    </rPh>
    <rPh sb="6" eb="8">
      <t>サンショウ</t>
    </rPh>
    <rPh sb="8" eb="9">
      <t>ガタ</t>
    </rPh>
    <rPh sb="10" eb="12">
      <t>メイレイ</t>
    </rPh>
    <rPh sb="18" eb="19">
      <t>アト</t>
    </rPh>
    <rPh sb="20" eb="22">
      <t>カキ</t>
    </rPh>
    <rPh sb="22" eb="24">
      <t>メイレイ</t>
    </rPh>
    <rPh sb="25" eb="27">
      <t>ニュウリョク</t>
    </rPh>
    <phoneticPr fontId="1"/>
  </si>
  <si>
    <t>「Q」は、検索する列名、一番後ろの「1」は、1だと検索した列の右の列を、-1だと左の列を表示します。</t>
    <rPh sb="5" eb="7">
      <t>ケンサク</t>
    </rPh>
    <rPh sb="9" eb="10">
      <t>レツ</t>
    </rPh>
    <rPh sb="10" eb="11">
      <t>メイ</t>
    </rPh>
    <rPh sb="12" eb="14">
      <t>イチバン</t>
    </rPh>
    <rPh sb="14" eb="15">
      <t>ウシ</t>
    </rPh>
    <rPh sb="25" eb="27">
      <t>ケンサク</t>
    </rPh>
    <rPh sb="29" eb="30">
      <t>レツ</t>
    </rPh>
    <rPh sb="31" eb="32">
      <t>ミギ</t>
    </rPh>
    <rPh sb="33" eb="34">
      <t>レツ</t>
    </rPh>
    <rPh sb="40" eb="41">
      <t>ヒダリ</t>
    </rPh>
    <rPh sb="42" eb="43">
      <t>レツ</t>
    </rPh>
    <rPh sb="44" eb="46">
      <t>ヒョウジ</t>
    </rPh>
    <phoneticPr fontId="1"/>
  </si>
  <si>
    <t>※出力用のシート中で不要なものがある場合は、手動で削除してください。</t>
    <rPh sb="1" eb="4">
      <t>シュツリョクヨウ</t>
    </rPh>
    <rPh sb="8" eb="9">
      <t>ナカ</t>
    </rPh>
    <rPh sb="10" eb="12">
      <t>フヨウ</t>
    </rPh>
    <rPh sb="18" eb="20">
      <t>バアイ</t>
    </rPh>
    <rPh sb="22" eb="24">
      <t>シュドウ</t>
    </rPh>
    <rPh sb="25" eb="27">
      <t>サクジョ</t>
    </rPh>
    <phoneticPr fontId="1"/>
  </si>
  <si>
    <t>エクセル用ツールを開いた状態で、使用したいツールの上で右クリックをし、</t>
    <rPh sb="4" eb="5">
      <t>ヨウ</t>
    </rPh>
    <rPh sb="9" eb="10">
      <t>ヒラ</t>
    </rPh>
    <rPh sb="12" eb="14">
      <t>ジョウタイ</t>
    </rPh>
    <rPh sb="16" eb="18">
      <t>シヨウ</t>
    </rPh>
    <rPh sb="25" eb="26">
      <t>ウエ</t>
    </rPh>
    <rPh sb="27" eb="28">
      <t>ミギ</t>
    </rPh>
    <phoneticPr fontId="1"/>
  </si>
  <si>
    <t>12/5/19 追加</t>
    <rPh sb="8" eb="10">
      <t>ツイカ</t>
    </rPh>
    <phoneticPr fontId="1"/>
  </si>
  <si>
    <t>「+add」で、A列に新しい列を追加するようにしました。</t>
    <rPh sb="9" eb="10">
      <t>レツ</t>
    </rPh>
    <rPh sb="11" eb="12">
      <t>アタラ</t>
    </rPh>
    <rPh sb="14" eb="15">
      <t>レツ</t>
    </rPh>
    <rPh sb="16" eb="18">
      <t>ツイカ</t>
    </rPh>
    <phoneticPr fontId="1"/>
  </si>
  <si>
    <t>12/5/19 修正</t>
    <rPh sb="8" eb="10">
      <t>シュウセイ</t>
    </rPh>
    <phoneticPr fontId="1"/>
  </si>
  <si>
    <t>データの保存先が、エクセルツール直下になっていたため、出力元のエクセル直下になるように修正しました。</t>
    <rPh sb="4" eb="6">
      <t>ホゾン</t>
    </rPh>
    <rPh sb="6" eb="7">
      <t>サキ</t>
    </rPh>
    <rPh sb="16" eb="18">
      <t>チョッカ</t>
    </rPh>
    <rPh sb="27" eb="29">
      <t>シュツリョク</t>
    </rPh>
    <rPh sb="29" eb="30">
      <t>モト</t>
    </rPh>
    <rPh sb="35" eb="37">
      <t>チョッカ</t>
    </rPh>
    <rPh sb="43" eb="45">
      <t>シュウセイ</t>
    </rPh>
    <phoneticPr fontId="1"/>
  </si>
  <si>
    <t>データの出力時に、2行無駄なデータが出力されていたため修正しました。</t>
    <rPh sb="4" eb="6">
      <t>シュツリョク</t>
    </rPh>
    <rPh sb="6" eb="7">
      <t>ジ</t>
    </rPh>
    <rPh sb="10" eb="11">
      <t>ギョウ</t>
    </rPh>
    <rPh sb="11" eb="13">
      <t>ムダ</t>
    </rPh>
    <rPh sb="18" eb="20">
      <t>シュツリョク</t>
    </rPh>
    <rPh sb="27" eb="29">
      <t>シュウセイ</t>
    </rPh>
    <phoneticPr fontId="1"/>
  </si>
  <si>
    <t>注意</t>
  </si>
  <si>
    <t>※シート名や、ファイル名には半角スペースを使用しないでください。</t>
  </si>
  <si>
    <t>※シート名や、ファイル名は、半角/全角問わず31文字以下に設定してください。</t>
  </si>
  <si>
    <t>12/5/21 修正</t>
    <rPh sb="8" eb="10">
      <t>シュウセイ</t>
    </rPh>
    <phoneticPr fontId="1"/>
  </si>
  <si>
    <t>更新があった場合、表示し、説明文とバージョンを更新するように変更しました。</t>
    <rPh sb="0" eb="2">
      <t>コウシン</t>
    </rPh>
    <rPh sb="6" eb="8">
      <t>バアイ</t>
    </rPh>
    <rPh sb="9" eb="11">
      <t>ヒョウジ</t>
    </rPh>
    <rPh sb="13" eb="16">
      <t>セツメイブン</t>
    </rPh>
    <rPh sb="23" eb="25">
      <t>コウシン</t>
    </rPh>
    <rPh sb="30" eb="32">
      <t>ヘンコウ</t>
    </rPh>
    <phoneticPr fontId="1"/>
  </si>
  <si>
    <t>2012/5/24 修正</t>
    <rPh sb="10" eb="12">
      <t>シュウセイ</t>
    </rPh>
    <phoneticPr fontId="1"/>
  </si>
  <si>
    <t>前回出力していたデータが、現在のデータに影響を与えていたので、</t>
    <rPh sb="0" eb="2">
      <t>ゼンカイ</t>
    </rPh>
    <rPh sb="2" eb="4">
      <t>シュツリョク</t>
    </rPh>
    <rPh sb="13" eb="15">
      <t>ゲンザイ</t>
    </rPh>
    <rPh sb="20" eb="22">
      <t>エイキョウ</t>
    </rPh>
    <rPh sb="23" eb="24">
      <t>アタ</t>
    </rPh>
    <phoneticPr fontId="1"/>
  </si>
  <si>
    <t>一度削除の上、新しいデータを出力するように修正しました。</t>
    <rPh sb="0" eb="2">
      <t>イチド</t>
    </rPh>
    <rPh sb="2" eb="4">
      <t>サクジョ</t>
    </rPh>
    <rPh sb="5" eb="6">
      <t>ウエ</t>
    </rPh>
    <rPh sb="7" eb="8">
      <t>アタラ</t>
    </rPh>
    <rPh sb="14" eb="16">
      <t>シュツリョク</t>
    </rPh>
    <rPh sb="21" eb="23">
      <t>シュウセイ</t>
    </rPh>
    <phoneticPr fontId="1"/>
  </si>
  <si>
    <t>12/4/19 追加 （一部12/5/25に変更）</t>
    <rPh sb="12" eb="14">
      <t>イチブ</t>
    </rPh>
    <rPh sb="22" eb="24">
      <t>ヘンコウ</t>
    </rPh>
    <phoneticPr fontId="1"/>
  </si>
  <si>
    <t>12/5/25 変更</t>
    <rPh sb="8" eb="10">
      <t>ヘンコウ</t>
    </rPh>
    <phoneticPr fontId="1"/>
  </si>
  <si>
    <t>「+sort」でA～F列をソートしするようにしました。</t>
    <phoneticPr fontId="1"/>
  </si>
  <si>
    <t>※出力補助は、できる限り「sort」「add」「inc」の順で使ってください。</t>
    <rPh sb="1" eb="3">
      <t>シュツリョク</t>
    </rPh>
    <rPh sb="3" eb="5">
      <t>ホジョ</t>
    </rPh>
    <rPh sb="10" eb="11">
      <t>カギ</t>
    </rPh>
    <rPh sb="29" eb="30">
      <t>ジュン</t>
    </rPh>
    <rPh sb="31" eb="32">
      <t>ツカ</t>
    </rPh>
    <phoneticPr fontId="1"/>
  </si>
  <si>
    <t>12/5/29 修正</t>
    <rPh sb="8" eb="10">
      <t>シュウセイ</t>
    </rPh>
    <phoneticPr fontId="1"/>
  </si>
  <si>
    <t>出力設定で「+」接続したデータの一番上の行が消える問題を修正。</t>
    <rPh sb="0" eb="2">
      <t>シュツリョク</t>
    </rPh>
    <rPh sb="2" eb="4">
      <t>セッテイ</t>
    </rPh>
    <rPh sb="8" eb="10">
      <t>セツゾク</t>
    </rPh>
    <rPh sb="16" eb="18">
      <t>イチバン</t>
    </rPh>
    <rPh sb="18" eb="19">
      <t>ウエ</t>
    </rPh>
    <rPh sb="20" eb="21">
      <t>ギョウ</t>
    </rPh>
    <rPh sb="22" eb="23">
      <t>キ</t>
    </rPh>
    <rPh sb="25" eb="27">
      <t>モンダイ</t>
    </rPh>
    <rPh sb="28" eb="30">
      <t>シュウセイ</t>
    </rPh>
    <phoneticPr fontId="1"/>
  </si>
  <si>
    <t>ソートがG列以降ずれる問題を修正。</t>
    <rPh sb="5" eb="6">
      <t>レツ</t>
    </rPh>
    <rPh sb="6" eb="8">
      <t>イコウ</t>
    </rPh>
    <rPh sb="11" eb="13">
      <t>モンダイ</t>
    </rPh>
    <rPh sb="14" eb="16">
      <t>シュウセイ</t>
    </rPh>
    <phoneticPr fontId="1"/>
  </si>
  <si>
    <t>出力元</t>
    <rPh sb="0" eb="2">
      <t>シュツリョク</t>
    </rPh>
    <rPh sb="2" eb="3">
      <t>モト</t>
    </rPh>
    <phoneticPr fontId="1"/>
  </si>
  <si>
    <t>出力先</t>
    <rPh sb="0" eb="2">
      <t>シュツリョク</t>
    </rPh>
    <rPh sb="2" eb="3">
      <t>サキ</t>
    </rPh>
    <phoneticPr fontId="1"/>
  </si>
  <si>
    <t>HTML変換</t>
    <rPh sb="4" eb="6">
      <t>ヘンカン</t>
    </rPh>
    <phoneticPr fontId="1"/>
  </si>
  <si>
    <t>指定した列のセルを確認し、</t>
    <rPh sb="0" eb="2">
      <t>シテイ</t>
    </rPh>
    <rPh sb="4" eb="5">
      <t>レツ</t>
    </rPh>
    <rPh sb="9" eb="11">
      <t>カクニン</t>
    </rPh>
    <phoneticPr fontId="1"/>
  </si>
  <si>
    <t>文字の色、太さをHTMLタグに変換します。</t>
    <rPh sb="0" eb="2">
      <t>モジ</t>
    </rPh>
    <rPh sb="3" eb="4">
      <t>イロ</t>
    </rPh>
    <rPh sb="5" eb="6">
      <t>フト</t>
    </rPh>
    <rPh sb="15" eb="17">
      <t>ヘンカン</t>
    </rPh>
    <phoneticPr fontId="1"/>
  </si>
  <si>
    <t>合わせて、＜や”などの特殊文字も変換します。</t>
    <rPh sb="0" eb="1">
      <t>ア</t>
    </rPh>
    <rPh sb="11" eb="13">
      <t>トクシュ</t>
    </rPh>
    <rPh sb="13" eb="15">
      <t>モジ</t>
    </rPh>
    <rPh sb="16" eb="18">
      <t>ヘンカン</t>
    </rPh>
    <phoneticPr fontId="1"/>
  </si>
  <si>
    <t>出力元に、出力元のシート名と、列の指定、</t>
    <rPh sb="0" eb="2">
      <t>シュツリョク</t>
    </rPh>
    <rPh sb="2" eb="3">
      <t>モト</t>
    </rPh>
    <rPh sb="7" eb="8">
      <t>モト</t>
    </rPh>
    <phoneticPr fontId="1"/>
  </si>
  <si>
    <t>出力先に、出力するシート名と、列の指定をします。</t>
    <rPh sb="0" eb="2">
      <t>シュツリョク</t>
    </rPh>
    <rPh sb="2" eb="3">
      <t>サキ</t>
    </rPh>
    <rPh sb="5" eb="7">
      <t>シュツリョク</t>
    </rPh>
    <phoneticPr fontId="1"/>
  </si>
  <si>
    <t>列の指定は、シート名の後ろに「!」を入力し、</t>
    <phoneticPr fontId="1"/>
  </si>
  <si>
    <t>「!」以降であれば、スペース、改行は自由にして大丈夫です。</t>
    <phoneticPr fontId="1"/>
  </si>
  <si>
    <t>～ 12/6/1 追加</t>
    <phoneticPr fontId="1"/>
  </si>
  <si>
    <t>出力の問題を解決。</t>
    <rPh sb="0" eb="2">
      <t>シュツリョク</t>
    </rPh>
    <rPh sb="3" eb="5">
      <t>モンダイ</t>
    </rPh>
    <rPh sb="6" eb="8">
      <t>カイケツ</t>
    </rPh>
    <phoneticPr fontId="1"/>
  </si>
  <si>
    <t>出力シート名に、出力するシート名と、列を指定します。</t>
    <phoneticPr fontId="1"/>
  </si>
  <si>
    <t>0.0.7</t>
    <phoneticPr fontId="1"/>
  </si>
  <si>
    <t>「+inc」で、2行以下の場合エラーが起きていた問題を修正。</t>
    <rPh sb="9" eb="12">
      <t>ギョウイカ</t>
    </rPh>
    <rPh sb="13" eb="15">
      <t>バアイ</t>
    </rPh>
    <rPh sb="19" eb="20">
      <t>オ</t>
    </rPh>
    <rPh sb="24" eb="26">
      <t>モンダイ</t>
    </rPh>
    <rPh sb="27" eb="29">
      <t>シュウセイ</t>
    </rPh>
    <phoneticPr fontId="1"/>
  </si>
  <si>
    <t>「+inc」で、2行以下の場合正しく出力できない問題を修正。</t>
    <rPh sb="9" eb="12">
      <t>ギョウイカ</t>
    </rPh>
    <rPh sb="13" eb="15">
      <t>バアイ</t>
    </rPh>
    <rPh sb="15" eb="16">
      <t>タダ</t>
    </rPh>
    <rPh sb="18" eb="20">
      <t>シュツリョク</t>
    </rPh>
    <rPh sb="24" eb="26">
      <t>モンダイ</t>
    </rPh>
    <rPh sb="27" eb="29">
      <t>シュウセイ</t>
    </rPh>
    <phoneticPr fontId="1"/>
  </si>
  <si>
    <t>C列のセルが、無色、または白色以外で着色された場合、その行のファイルを出力しないように変更。</t>
    <rPh sb="1" eb="2">
      <t>レツ</t>
    </rPh>
    <rPh sb="7" eb="9">
      <t>ムショク</t>
    </rPh>
    <rPh sb="13" eb="14">
      <t>シロ</t>
    </rPh>
    <rPh sb="14" eb="15">
      <t>イロ</t>
    </rPh>
    <rPh sb="15" eb="17">
      <t>イガイ</t>
    </rPh>
    <rPh sb="18" eb="20">
      <t>チャクショク</t>
    </rPh>
    <rPh sb="23" eb="25">
      <t>バアイ</t>
    </rPh>
    <rPh sb="28" eb="29">
      <t>ギョウ</t>
    </rPh>
    <rPh sb="35" eb="37">
      <t>シュツリョク</t>
    </rPh>
    <rPh sb="43" eb="45">
      <t>ヘンコウ</t>
    </rPh>
    <phoneticPr fontId="1"/>
  </si>
  <si>
    <t>31文字以上の出力名に対応。</t>
    <rPh sb="2" eb="6">
      <t>モジイジョウ</t>
    </rPh>
    <rPh sb="7" eb="9">
      <t>シュツリョク</t>
    </rPh>
    <rPh sb="9" eb="10">
      <t>メイ</t>
    </rPh>
    <rPh sb="11" eb="13">
      <t>タイオウ</t>
    </rPh>
    <phoneticPr fontId="1"/>
  </si>
  <si>
    <t>Windows7の限界値は229文字です。</t>
    <rPh sb="9" eb="12">
      <t>ゲンカイチ</t>
    </rPh>
    <rPh sb="16" eb="18">
      <t>モジ</t>
    </rPh>
    <phoneticPr fontId="1"/>
  </si>
  <si>
    <t>処理の微調整</t>
    <rPh sb="0" eb="2">
      <t>ショリ</t>
    </rPh>
    <rPh sb="3" eb="6">
      <t>ビチョウセイ</t>
    </rPh>
    <phoneticPr fontId="1"/>
  </si>
  <si>
    <t>書式を反映して出力するように修正</t>
    <rPh sb="0" eb="2">
      <t>ショシキ</t>
    </rPh>
    <rPh sb="3" eb="5">
      <t>ハンエイ</t>
    </rPh>
    <rPh sb="7" eb="9">
      <t>シュツリョク</t>
    </rPh>
    <rPh sb="14" eb="16">
      <t>シュウセイ</t>
    </rPh>
    <phoneticPr fontId="1"/>
  </si>
  <si>
    <t>名前列</t>
    <rPh sb="0" eb="2">
      <t>ナマエ</t>
    </rPh>
    <rPh sb="2" eb="3">
      <t>レツ</t>
    </rPh>
    <phoneticPr fontId="1"/>
  </si>
  <si>
    <t>ID列</t>
    <rPh sb="2" eb="3">
      <t>レツ</t>
    </rPh>
    <phoneticPr fontId="1"/>
  </si>
  <si>
    <t>ID出力ツールはエクセルデータから一部を切り出して</t>
    <rPh sb="2" eb="4">
      <t>シュツリョク</t>
    </rPh>
    <rPh sb="17" eb="19">
      <t>イチブ</t>
    </rPh>
    <rPh sb="20" eb="21">
      <t>キ</t>
    </rPh>
    <rPh sb="22" eb="23">
      <t>ダ</t>
    </rPh>
    <phoneticPr fontId="1"/>
  </si>
  <si>
    <t>C#のクラスファイルとしてIDクラスを出力するためのツールです。</t>
    <rPh sb="19" eb="21">
      <t>シュツリョク</t>
    </rPh>
    <phoneticPr fontId="1"/>
  </si>
  <si>
    <t>まとめられたデータは、エクセルと同じ階層に「id」のフォルダを作成し、</t>
    <rPh sb="16" eb="17">
      <t>オナ</t>
    </rPh>
    <rPh sb="18" eb="20">
      <t>カイソウ</t>
    </rPh>
    <rPh sb="31" eb="33">
      <t>サクセイ</t>
    </rPh>
    <phoneticPr fontId="1"/>
  </si>
  <si>
    <t>その中に、UTF-8、BOMなしのcsファイルを出力していきます。</t>
    <rPh sb="2" eb="3">
      <t>ナカ</t>
    </rPh>
    <rPh sb="24" eb="26">
      <t>シュツリョク</t>
    </rPh>
    <phoneticPr fontId="1"/>
  </si>
  <si>
    <t>名前列に、出力時の変数名として使うデータの入力された列を指定します。</t>
    <rPh sb="0" eb="2">
      <t>ナマエ</t>
    </rPh>
    <rPh sb="2" eb="3">
      <t>レツ</t>
    </rPh>
    <rPh sb="5" eb="7">
      <t>シュツリョク</t>
    </rPh>
    <rPh sb="7" eb="8">
      <t>ジ</t>
    </rPh>
    <rPh sb="9" eb="12">
      <t>ヘンスウメイ</t>
    </rPh>
    <rPh sb="15" eb="16">
      <t>ツカ</t>
    </rPh>
    <rPh sb="21" eb="23">
      <t>ニュウリョク</t>
    </rPh>
    <rPh sb="26" eb="27">
      <t>レツ</t>
    </rPh>
    <rPh sb="28" eb="30">
      <t>シテイ</t>
    </rPh>
    <phoneticPr fontId="1"/>
  </si>
  <si>
    <t>ID列に、出力時にIDとして使うデータの入力された列をしていします。</t>
    <rPh sb="2" eb="3">
      <t>レツ</t>
    </rPh>
    <rPh sb="5" eb="7">
      <t>シュツリョク</t>
    </rPh>
    <rPh sb="7" eb="8">
      <t>ジ</t>
    </rPh>
    <rPh sb="14" eb="15">
      <t>ツカ</t>
    </rPh>
    <rPh sb="20" eb="22">
      <t>ニュウリョク</t>
    </rPh>
    <rPh sb="25" eb="26">
      <t>レツ</t>
    </rPh>
    <phoneticPr fontId="1"/>
  </si>
  <si>
    <t>A列を名前列として使用する場合はAと入力してください。</t>
    <rPh sb="1" eb="2">
      <t>レツ</t>
    </rPh>
    <rPh sb="3" eb="5">
      <t>ナマエ</t>
    </rPh>
    <rPh sb="5" eb="6">
      <t>レツ</t>
    </rPh>
    <rPh sb="9" eb="11">
      <t>シヨウ</t>
    </rPh>
    <rPh sb="13" eb="15">
      <t>バアイ</t>
    </rPh>
    <rPh sb="18" eb="20">
      <t>ニュウリョク</t>
    </rPh>
    <phoneticPr fontId="1"/>
  </si>
  <si>
    <t>実行ボタンを押すと、指定したシートの中の、</t>
    <phoneticPr fontId="1"/>
  </si>
  <si>
    <r>
      <t>「</t>
    </r>
    <r>
      <rPr>
        <b/>
        <sz val="10"/>
        <color theme="1"/>
        <rFont val="ＭＳ Ｐゴシック"/>
        <family val="3"/>
        <charset val="128"/>
        <scheme val="minor"/>
      </rPr>
      <t>ここから</t>
    </r>
    <r>
      <rPr>
        <sz val="10"/>
        <color theme="1"/>
        <rFont val="ＭＳ Ｐゴシック"/>
        <family val="2"/>
        <charset val="128"/>
        <scheme val="minor"/>
      </rPr>
      <t>」行から、「</t>
    </r>
    <r>
      <rPr>
        <b/>
        <sz val="10"/>
        <color theme="1"/>
        <rFont val="ＭＳ Ｐゴシック"/>
        <family val="3"/>
        <charset val="128"/>
        <scheme val="minor"/>
      </rPr>
      <t>ここまで</t>
    </r>
    <r>
      <rPr>
        <sz val="10"/>
        <color theme="1"/>
        <rFont val="ＭＳ Ｐゴシック"/>
        <family val="2"/>
        <charset val="128"/>
        <scheme val="minor"/>
      </rPr>
      <t>」の、行の間の白色の列の取ってきます。</t>
    </r>
    <phoneticPr fontId="1"/>
  </si>
  <si>
    <t>色ではなく、セルを直接指定したい場合は、</t>
    <phoneticPr fontId="1"/>
  </si>
  <si>
    <t>シート名の後ろに「!」を入力し、そのあとカンマ区切りで列の名称を入力すれば、</t>
    <phoneticPr fontId="1"/>
  </si>
  <si>
    <t>JSON、CSファイル出力ツール</t>
    <rPh sb="11" eb="13">
      <t>シュツリョク</t>
    </rPh>
    <phoneticPr fontId="1"/>
  </si>
  <si>
    <t>JSON出力ツールはエクセルデータから一部を切り出して</t>
    <rPh sb="4" eb="6">
      <t>シュツリョク</t>
    </rPh>
    <rPh sb="19" eb="21">
      <t>イチブ</t>
    </rPh>
    <rPh sb="22" eb="23">
      <t>キ</t>
    </rPh>
    <rPh sb="24" eb="25">
      <t>ダ</t>
    </rPh>
    <phoneticPr fontId="1"/>
  </si>
  <si>
    <t>JSONファイルとC#のクラスファイルを出力するためのツールです。</t>
    <rPh sb="20" eb="22">
      <t>シュツリョク</t>
    </rPh>
    <phoneticPr fontId="1"/>
  </si>
  <si>
    <t>まとめられたデータは、エクセルと同じ階層に「json」のフォルダを作成し、</t>
    <rPh sb="16" eb="17">
      <t>オナ</t>
    </rPh>
    <rPh sb="18" eb="20">
      <t>カイソウ</t>
    </rPh>
    <rPh sb="33" eb="35">
      <t>サクセイ</t>
    </rPh>
    <phoneticPr fontId="1"/>
  </si>
  <si>
    <t>変数名行に[変数名:型名]と指定して使用します。</t>
    <rPh sb="0" eb="2">
      <t>ヘンスウ</t>
    </rPh>
    <rPh sb="2" eb="3">
      <t>メイ</t>
    </rPh>
    <rPh sb="3" eb="4">
      <t>ギョウ</t>
    </rPh>
    <rPh sb="6" eb="8">
      <t>ヘンスウ</t>
    </rPh>
    <rPh sb="8" eb="9">
      <t>メイ</t>
    </rPh>
    <rPh sb="10" eb="12">
      <t>カタメイ</t>
    </rPh>
    <rPh sb="14" eb="16">
      <t>シテイ</t>
    </rPh>
    <rPh sb="18" eb="20">
      <t>シヨウ</t>
    </rPh>
    <phoneticPr fontId="1"/>
  </si>
  <si>
    <t>変数名がそのままC#ファイルでの変数名となります。</t>
    <rPh sb="0" eb="2">
      <t>ヘンスウ</t>
    </rPh>
    <rPh sb="2" eb="3">
      <t>メイ</t>
    </rPh>
    <rPh sb="16" eb="19">
      <t>ヘンスウメイ</t>
    </rPh>
    <phoneticPr fontId="1"/>
  </si>
  <si>
    <t>同じ変数名の物は配列として出力されます。</t>
    <rPh sb="0" eb="1">
      <t>オナ</t>
    </rPh>
    <rPh sb="2" eb="4">
      <t>ヘンスウ</t>
    </rPh>
    <rPh sb="4" eb="5">
      <t>メイ</t>
    </rPh>
    <rPh sb="6" eb="7">
      <t>モノ</t>
    </rPh>
    <rPh sb="8" eb="10">
      <t>ハイレツ</t>
    </rPh>
    <rPh sb="13" eb="15">
      <t>シュツリョク</t>
    </rPh>
    <phoneticPr fontId="1"/>
  </si>
  <si>
    <t>単一の場合はその変数の型が、複数の場合は"_"で組み合わせたstring型となります。</t>
    <rPh sb="0" eb="2">
      <t>タンイツ</t>
    </rPh>
    <rPh sb="3" eb="5">
      <t>バアイ</t>
    </rPh>
    <rPh sb="8" eb="10">
      <t>ヘンスウ</t>
    </rPh>
    <rPh sb="11" eb="12">
      <t>カタ</t>
    </rPh>
    <rPh sb="14" eb="16">
      <t>フクスウ</t>
    </rPh>
    <rPh sb="17" eb="19">
      <t>バアイ</t>
    </rPh>
    <rPh sb="24" eb="25">
      <t>ク</t>
    </rPh>
    <rPh sb="26" eb="27">
      <t>ア</t>
    </rPh>
    <rPh sb="36" eb="37">
      <t>ガタ</t>
    </rPh>
    <phoneticPr fontId="1"/>
  </si>
  <si>
    <r>
      <t>入力規約は</t>
    </r>
    <r>
      <rPr>
        <b/>
        <sz val="10"/>
        <color theme="1"/>
        <rFont val="ＭＳ Ｐゴシック"/>
        <family val="3"/>
        <charset val="128"/>
        <scheme val="minor"/>
      </rPr>
      <t>[キー名(, キー名...)]</t>
    </r>
    <r>
      <rPr>
        <sz val="10"/>
        <color theme="1"/>
        <rFont val="ＭＳ Ｐゴシック"/>
        <family val="2"/>
        <charset val="128"/>
        <scheme val="minor"/>
      </rPr>
      <t>です。</t>
    </r>
    <rPh sb="0" eb="2">
      <t>ニュウリョク</t>
    </rPh>
    <rPh sb="2" eb="4">
      <t>キヤク</t>
    </rPh>
    <rPh sb="8" eb="9">
      <t>メイ</t>
    </rPh>
    <rPh sb="14" eb="15">
      <t>メイ</t>
    </rPh>
    <phoneticPr fontId="1"/>
  </si>
  <si>
    <t>独自クラスの定義の追加などにお使いください。</t>
    <rPh sb="0" eb="2">
      <t>ドクジ</t>
    </rPh>
    <rPh sb="6" eb="8">
      <t>テイギ</t>
    </rPh>
    <rPh sb="9" eb="11">
      <t>ツイカ</t>
    </rPh>
    <rPh sb="15" eb="16">
      <t>ツカ</t>
    </rPh>
    <phoneticPr fontId="1"/>
  </si>
  <si>
    <r>
      <t>「</t>
    </r>
    <r>
      <rPr>
        <b/>
        <sz val="10"/>
        <color theme="1"/>
        <rFont val="ＭＳ Ｐゴシック"/>
        <family val="3"/>
        <charset val="128"/>
        <scheme val="minor"/>
      </rPr>
      <t>追加読み込み</t>
    </r>
    <r>
      <rPr>
        <sz val="10"/>
        <color theme="1"/>
        <rFont val="ＭＳ Ｐゴシック"/>
        <family val="2"/>
        <charset val="128"/>
        <scheme val="minor"/>
      </rPr>
      <t>」行から下1行をC#のクラスファイルへ追加で出力をします。</t>
    </r>
    <rPh sb="1" eb="3">
      <t>ツイカ</t>
    </rPh>
    <rPh sb="3" eb="4">
      <t>ヨ</t>
    </rPh>
    <rPh sb="5" eb="6">
      <t>コ</t>
    </rPh>
    <rPh sb="11" eb="12">
      <t>シタ</t>
    </rPh>
    <rPh sb="26" eb="28">
      <t>ツイカ</t>
    </rPh>
    <rPh sb="29" eb="31">
      <t>シュツリョク</t>
    </rPh>
    <phoneticPr fontId="1"/>
  </si>
  <si>
    <r>
      <t>「</t>
    </r>
    <r>
      <rPr>
        <b/>
        <sz val="10"/>
        <color theme="1"/>
        <rFont val="ＭＳ Ｐゴシック"/>
        <family val="3"/>
        <charset val="128"/>
        <scheme val="minor"/>
      </rPr>
      <t>キーデータ</t>
    </r>
    <r>
      <rPr>
        <sz val="10"/>
        <color theme="1"/>
        <rFont val="ＭＳ Ｐゴシック"/>
        <family val="2"/>
        <charset val="128"/>
        <scheme val="minor"/>
      </rPr>
      <t>」行から下1行キーとしてC#のクラスファイルへ追加でアクセスユーティリティを出力をします。</t>
    </r>
    <rPh sb="10" eb="11">
      <t>シタ</t>
    </rPh>
    <rPh sb="29" eb="31">
      <t>ツイカ</t>
    </rPh>
    <rPh sb="44" eb="46">
      <t>シュツリョク</t>
    </rPh>
    <phoneticPr fontId="1"/>
  </si>
  <si>
    <t>埋め込まれた改行やタブに合わせてある程度自動でコード整形をします。</t>
    <rPh sb="0" eb="1">
      <t>ウ</t>
    </rPh>
    <rPh sb="2" eb="3">
      <t>コ</t>
    </rPh>
    <rPh sb="6" eb="8">
      <t>カイギョウ</t>
    </rPh>
    <rPh sb="12" eb="13">
      <t>ア</t>
    </rPh>
    <rPh sb="18" eb="20">
      <t>テイド</t>
    </rPh>
    <rPh sb="20" eb="22">
      <t>ジドウ</t>
    </rPh>
    <rPh sb="26" eb="28">
      <t>セイケイ</t>
    </rPh>
    <phoneticPr fontId="1"/>
  </si>
  <si>
    <t>17/4/19 追加</t>
    <phoneticPr fontId="1"/>
  </si>
  <si>
    <t>csファイルで、namespaseでData.Masterを切るように変更。</t>
    <rPh sb="30" eb="31">
      <t>キ</t>
    </rPh>
    <rPh sb="35" eb="37">
      <t>ヘンコウ</t>
    </rPh>
    <phoneticPr fontId="1"/>
  </si>
  <si>
    <t>csファイルで、Clone()メソッドを追加するように変更。</t>
    <rPh sb="20" eb="22">
      <t>ツイカ</t>
    </rPh>
    <rPh sb="27" eb="29">
      <t>ヘンコウ</t>
    </rPh>
    <phoneticPr fontId="1"/>
  </si>
  <si>
    <t>IDクラス出力ツール</t>
    <rPh sb="5" eb="7">
      <t>シュツリョク</t>
    </rPh>
    <phoneticPr fontId="1"/>
  </si>
  <si>
    <t>17/7/18 修正</t>
    <rPh sb="8" eb="10">
      <t>シュウセイ</t>
    </rPh>
    <phoneticPr fontId="1"/>
  </si>
  <si>
    <t>複数設定した場合、１行前の要素も含んで出力されていたのを修正</t>
    <rPh sb="0" eb="2">
      <t>フクスウ</t>
    </rPh>
    <rPh sb="2" eb="4">
      <t>セッテイ</t>
    </rPh>
    <rPh sb="6" eb="8">
      <t>バアイ</t>
    </rPh>
    <rPh sb="10" eb="11">
      <t>ギョウ</t>
    </rPh>
    <rPh sb="11" eb="12">
      <t>マエ</t>
    </rPh>
    <rPh sb="13" eb="15">
      <t>ヨウソ</t>
    </rPh>
    <rPh sb="16" eb="17">
      <t>フク</t>
    </rPh>
    <rPh sb="19" eb="21">
      <t>シュツリョク</t>
    </rPh>
    <rPh sb="28" eb="30">
      <t>シュウセイ</t>
    </rPh>
    <phoneticPr fontId="1"/>
  </si>
  <si>
    <t>17/7/19 修正</t>
    <rPh sb="8" eb="10">
      <t>シュウセイ</t>
    </rPh>
    <phoneticPr fontId="1"/>
  </si>
  <si>
    <t>enumに変更。</t>
    <rPh sb="5" eb="7">
      <t>ヘンコウ</t>
    </rPh>
    <phoneticPr fontId="1"/>
  </si>
  <si>
    <t>17/7/21 修正</t>
    <rPh sb="8" eb="10">
      <t>シュウセイ</t>
    </rPh>
    <phoneticPr fontId="1"/>
  </si>
  <si>
    <t>idが32768を超えるとエラーが出ていた問題に対応。</t>
    <rPh sb="9" eb="10">
      <t>コ</t>
    </rPh>
    <rPh sb="17" eb="18">
      <t>デ</t>
    </rPh>
    <rPh sb="21" eb="23">
      <t>モンダイ</t>
    </rPh>
    <rPh sb="24" eb="26">
      <t>タイオウ</t>
    </rPh>
    <phoneticPr fontId="1"/>
  </si>
  <si>
    <t>17/9/21 追加</t>
    <phoneticPr fontId="1"/>
  </si>
  <si>
    <t>「+」で複数シートつなげられないバグを修正。</t>
    <rPh sb="4" eb="6">
      <t>フクスウ</t>
    </rPh>
    <rPh sb="19" eb="21">
      <t>シュウセイ</t>
    </rPh>
    <phoneticPr fontId="1"/>
  </si>
  <si>
    <t>17/9/23 追加</t>
    <phoneticPr fontId="1"/>
  </si>
  <si>
    <t>出力するクラス名に数値が入らないように対応。</t>
    <rPh sb="0" eb="2">
      <t>シュツリョク</t>
    </rPh>
    <rPh sb="7" eb="8">
      <t>メイ</t>
    </rPh>
    <rPh sb="9" eb="11">
      <t>スウチ</t>
    </rPh>
    <rPh sb="12" eb="13">
      <t>ハイ</t>
    </rPh>
    <rPh sb="19" eb="21">
      <t>タイオウ</t>
    </rPh>
    <phoneticPr fontId="1"/>
  </si>
  <si>
    <t>アンダーバーで区切られた中がすべて数値だった場合無視するようになりました。</t>
    <rPh sb="7" eb="9">
      <t>クギ</t>
    </rPh>
    <rPh sb="12" eb="13">
      <t>ナカ</t>
    </rPh>
    <rPh sb="17" eb="19">
      <t>スウチ</t>
    </rPh>
    <rPh sb="22" eb="24">
      <t>バアイ</t>
    </rPh>
    <rPh sb="24" eb="26">
      <t>ムシ</t>
    </rPh>
    <phoneticPr fontId="1"/>
  </si>
  <si>
    <t>17/10/17 追加</t>
    <phoneticPr fontId="1"/>
  </si>
  <si>
    <t>データの頭に//がある列は出力しないように対応</t>
    <rPh sb="4" eb="5">
      <t>アタマ</t>
    </rPh>
    <rPh sb="11" eb="12">
      <t>レツ</t>
    </rPh>
    <rPh sb="13" eb="15">
      <t>シュツリョク</t>
    </rPh>
    <rPh sb="21" eb="23">
      <t>タイオウ</t>
    </rPh>
    <phoneticPr fontId="1"/>
  </si>
  <si>
    <t>17/10/20 追加</t>
    <phoneticPr fontId="1"/>
  </si>
  <si>
    <t>「-」を「-1」に変化して出力するように対応</t>
    <rPh sb="9" eb="11">
      <t>ヘンカ</t>
    </rPh>
    <rPh sb="13" eb="15">
      <t>シュツリョク</t>
    </rPh>
    <rPh sb="20" eb="22">
      <t>タイオウ</t>
    </rPh>
    <phoneticPr fontId="1"/>
  </si>
  <si>
    <t>17/12/13 修正</t>
    <rPh sb="9" eb="11">
      <t>シュウセイ</t>
    </rPh>
    <phoneticPr fontId="1"/>
  </si>
  <si>
    <t>出力するIDが数値じゃない場合出力しないように対応。</t>
    <rPh sb="0" eb="2">
      <t>シュツリョク</t>
    </rPh>
    <rPh sb="7" eb="9">
      <t>スウチ</t>
    </rPh>
    <rPh sb="13" eb="15">
      <t>バアイ</t>
    </rPh>
    <rPh sb="15" eb="17">
      <t>シュツリョク</t>
    </rPh>
    <rPh sb="23" eb="25">
      <t>タイオウ</t>
    </rPh>
    <phoneticPr fontId="1"/>
  </si>
  <si>
    <t>条件付き書式でC列の色を塗った時も出力しないように対応</t>
    <rPh sb="0" eb="3">
      <t>ジョウケンツ</t>
    </rPh>
    <rPh sb="4" eb="6">
      <t>ショシキ</t>
    </rPh>
    <rPh sb="8" eb="9">
      <t>レツ</t>
    </rPh>
    <rPh sb="10" eb="11">
      <t>イロ</t>
    </rPh>
    <rPh sb="12" eb="13">
      <t>ヌ</t>
    </rPh>
    <rPh sb="15" eb="16">
      <t>トキ</t>
    </rPh>
    <rPh sb="17" eb="19">
      <t>シュツリョク</t>
    </rPh>
    <rPh sb="25" eb="27">
      <t>タイオウ</t>
    </rPh>
    <phoneticPr fontId="1"/>
  </si>
  <si>
    <t>17/12/19 修正</t>
    <rPh sb="9" eb="11">
      <t>シュウセイ</t>
    </rPh>
    <phoneticPr fontId="1"/>
  </si>
  <si>
    <t>条件付き書式でE列の色を塗った時も出力しないように対応</t>
    <rPh sb="0" eb="3">
      <t>ジョウケンツ</t>
    </rPh>
    <rPh sb="4" eb="6">
      <t>ショシキ</t>
    </rPh>
    <rPh sb="8" eb="9">
      <t>レツ</t>
    </rPh>
    <rPh sb="10" eb="11">
      <t>イロ</t>
    </rPh>
    <rPh sb="12" eb="13">
      <t>ヌ</t>
    </rPh>
    <rPh sb="15" eb="16">
      <t>トキ</t>
    </rPh>
    <rPh sb="17" eb="19">
      <t>シュツリョク</t>
    </rPh>
    <rPh sb="25" eb="27">
      <t>タイオウ</t>
    </rPh>
    <phoneticPr fontId="1"/>
  </si>
  <si>
    <t>0.3.01</t>
    <phoneticPr fontId="1"/>
  </si>
  <si>
    <t>0.2.7</t>
    <phoneticPr fontId="1"/>
  </si>
  <si>
    <t>0.3.4</t>
    <phoneticPr fontId="1"/>
  </si>
  <si>
    <t>0.2.0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</si>
</sst>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3"/>
      <charset val="128"/>
      <scheme val="minor"/>
    </font>
    <font>
      <sz val="11"/>
      <color theme="0"/>
      <name val="ＭＳ Ｐゴシック"/>
      <family val="2"/>
      <charset val="128"/>
      <scheme val="minor"/>
    </font>
    <font>
      <b/>
      <sz val="11"/>
      <color theme="1"/>
      <name val="ＭＳ Ｐゴシック"/>
      <family val="3"/>
      <charset val="128"/>
      <scheme val="minor"/>
    </font>
    <font>
      <sz val="11"/>
      <name val="ＭＳ Ｐゴシック"/>
      <family val="3"/>
      <charset val="128"/>
    </font>
    <font>
      <sz val="11"/>
      <color theme="1"/>
      <name val="ＭＳ Ｐゴシック"/>
      <family val="2"/>
      <charset val="128"/>
      <scheme val="minor"/>
    </font>
    <font>
      <sz val="11"/>
      <color theme="1"/>
      <name val="ＭＳ ゴシック"/>
      <family val="2"/>
      <charset val="128"/>
    </font>
    <font>
      <sz val="11"/>
      <color theme="1"/>
      <name val="ＭＳ ゴシック"/>
      <family val="3"/>
      <charset val="128"/>
    </font>
    <font>
      <sz val="9"/>
      <color theme="1"/>
      <name val="ＭＳ Ｐゴシック"/>
      <family val="3"/>
      <charset val="128"/>
      <scheme val="minor"/>
    </font>
    <font>
      <sz val="11"/>
      <color theme="0"/>
      <name val="ＭＳ Ｐゴシック"/>
      <family val="3"/>
      <charset val="128"/>
      <scheme val="minor"/>
    </font>
    <font>
      <sz val="11"/>
      <color rgb="FF000000"/>
      <name val="ＭＳ Ｐゴシック"/>
      <family val="3"/>
      <charset val="128"/>
    </font>
    <font>
      <sz val="10"/>
      <color theme="0"/>
      <name val="ＭＳ Ｐゴシック"/>
      <family val="2"/>
      <charset val="128"/>
      <scheme val="minor"/>
    </font>
    <font>
      <sz val="10"/>
      <color theme="0"/>
      <name val="ＭＳ Ｐゴシック"/>
      <family val="3"/>
      <charset val="128"/>
      <scheme val="minor"/>
    </font>
    <font>
      <sz val="10"/>
      <color theme="1"/>
      <name val="ＭＳ Ｐゴシック"/>
      <family val="3"/>
      <charset val="128"/>
      <scheme val="minor"/>
    </font>
    <font>
      <b/>
      <sz val="10"/>
      <color theme="1"/>
      <name val="ＭＳ Ｐゴシック"/>
      <family val="3"/>
      <charset val="128"/>
      <scheme val="minor"/>
    </font>
    <font>
      <sz val="11"/>
      <color theme="1"/>
      <name val="ＭＳ Ｐゴシック"/>
      <family val="2"/>
      <scheme val="minor"/>
    </font>
    <font>
      <b/>
      <sz val="18"/>
      <color theme="3"/>
      <name val="ＭＳ Ｐゴシック"/>
      <family val="3"/>
      <charset val="128"/>
      <scheme val="major"/>
    </font>
    <font>
      <b/>
      <sz val="11"/>
      <color theme="0"/>
      <name val="ＭＳ Ｐゴシック"/>
      <family val="3"/>
      <charset val="128"/>
      <scheme val="minor"/>
    </font>
    <font>
      <sz val="11"/>
      <color rgb="FF9C6500"/>
      <name val="ＭＳ Ｐゴシック"/>
      <family val="3"/>
      <charset val="128"/>
      <scheme val="minor"/>
    </font>
    <font>
      <u/>
      <sz val="11"/>
      <color theme="10"/>
      <name val="ＭＳ Ｐゴシック"/>
      <family val="2"/>
      <scheme val="minor"/>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rgb="FF006100"/>
      <name val="ＭＳ Ｐゴシック"/>
      <family val="3"/>
      <charset val="128"/>
      <scheme val="minor"/>
    </font>
    <font>
      <b/>
      <sz val="11"/>
      <color rgb="FFFF0000"/>
      <name val="ＭＳ Ｐゴシック"/>
      <family val="3"/>
      <charset val="128"/>
      <scheme val="minor"/>
    </font>
    <font>
      <u/>
      <sz val="11"/>
      <color theme="10"/>
      <name val="ＭＳ Ｐゴシック"/>
      <family val="2"/>
      <charset val="128"/>
      <scheme val="minor"/>
    </font>
    <font>
      <b/>
      <sz val="11"/>
      <name val="ＭＳ Ｐゴシック"/>
      <family val="3"/>
      <charset val="128"/>
      <scheme val="minor"/>
    </font>
    <font>
      <sz val="10"/>
      <color theme="1"/>
      <name val="ＭＳ Ｐゴシック"/>
      <family val="2"/>
      <charset val="128"/>
      <scheme val="minor"/>
    </font>
    <font>
      <b/>
      <sz val="11"/>
      <color theme="4" tint="-0.249977111117893"/>
      <name val="ＭＳ Ｐゴシック"/>
      <family val="3"/>
      <charset val="128"/>
      <scheme val="minor"/>
    </font>
    <font>
      <b/>
      <u/>
      <sz val="11"/>
      <color theme="4" tint="-0.249977111117893"/>
      <name val="ＭＳ Ｐゴシック"/>
      <family val="3"/>
      <charset val="128"/>
      <scheme val="minor"/>
    </font>
    <font>
      <u/>
      <sz val="11"/>
      <color theme="1"/>
      <name val="ＭＳ Ｐゴシック"/>
      <family val="3"/>
      <charset val="128"/>
      <scheme val="minor"/>
    </font>
    <font>
      <u/>
      <sz val="11"/>
      <color theme="1"/>
      <name val="ＭＳ Ｐゴシック"/>
      <family val="2"/>
      <charset val="128"/>
      <scheme val="minor"/>
    </font>
    <font>
      <b/>
      <u/>
      <sz val="11"/>
      <color rgb="FFFF0000"/>
      <name val="ＭＳ Ｐゴシック"/>
      <family val="2"/>
      <charset val="128"/>
      <scheme val="minor"/>
    </font>
    <font>
      <b/>
      <u/>
      <sz val="11"/>
      <color theme="3"/>
      <name val="ＭＳ Ｐゴシック"/>
      <family val="3"/>
      <charset val="128"/>
      <scheme val="minor"/>
    </font>
    <font>
      <b/>
      <u/>
      <sz val="11"/>
      <color theme="6" tint="-0.499984740745262"/>
      <name val="ＭＳ Ｐゴシック"/>
      <family val="3"/>
      <charset val="128"/>
      <scheme val="minor"/>
    </font>
    <font>
      <b/>
      <u/>
      <sz val="11"/>
      <color theme="9" tint="-0.249977111117893"/>
      <name val="ＭＳ Ｐゴシック"/>
      <family val="3"/>
      <charset val="128"/>
      <scheme val="minor"/>
    </font>
    <font>
      <strike/>
      <sz val="10"/>
      <color theme="1"/>
      <name val="ＭＳ Ｐゴシック"/>
      <family val="2"/>
      <charset val="128"/>
      <scheme val="minor"/>
    </font>
    <font>
      <sz val="11"/>
      <name val="ＭＳ Ｐゴシック"/>
      <family val="2"/>
      <charset val="128"/>
      <scheme val="minor"/>
    </font>
  </fonts>
  <fills count="42">
    <fill>
      <patternFill patternType="none"/>
    </fill>
    <fill>
      <patternFill patternType="gray125"/>
    </fill>
    <fill>
      <patternFill patternType="solid">
        <fgColor theme="1" tint="0.34998626667073579"/>
        <bgColor indexed="64"/>
      </patternFill>
    </fill>
    <fill>
      <patternFill patternType="solid">
        <fgColor theme="5" tint="-0.499984740745262"/>
        <bgColor indexed="64"/>
      </patternFill>
    </fill>
    <fill>
      <patternFill patternType="solid">
        <fgColor theme="6" tint="0.79998168889431442"/>
        <bgColor indexed="64"/>
      </patternFill>
    </fill>
    <fill>
      <patternFill patternType="solid">
        <fgColor theme="4"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6" tint="-0.49998474074526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double">
        <color auto="1"/>
      </left>
      <right style="double">
        <color auto="1"/>
      </right>
      <top style="double">
        <color auto="1"/>
      </top>
      <bottom style="double">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65">
    <xf numFmtId="0" fontId="0" fillId="0" borderId="0">
      <alignment vertical="center"/>
    </xf>
    <xf numFmtId="0" fontId="2" fillId="0" borderId="0">
      <alignment vertical="center"/>
    </xf>
    <xf numFmtId="9" fontId="2" fillId="0" borderId="0" applyFont="0" applyFill="0" applyBorder="0" applyAlignment="0" applyProtection="0">
      <alignment vertical="center"/>
    </xf>
    <xf numFmtId="0" fontId="5" fillId="0" borderId="0">
      <alignment vertical="center"/>
    </xf>
    <xf numFmtId="0" fontId="7" fillId="0" borderId="0">
      <alignment vertical="center"/>
    </xf>
    <xf numFmtId="0" fontId="6" fillId="0" borderId="0">
      <alignment vertical="center"/>
    </xf>
    <xf numFmtId="9" fontId="6" fillId="0" borderId="0" applyFont="0" applyFill="0" applyBorder="0" applyAlignment="0" applyProtection="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16" fillId="0" borderId="0"/>
    <xf numFmtId="0" fontId="2" fillId="14" borderId="0" applyNumberFormat="0" applyBorder="0" applyAlignment="0" applyProtection="0">
      <alignment vertical="center"/>
    </xf>
    <xf numFmtId="0" fontId="2" fillId="18" borderId="0" applyNumberFormat="0" applyBorder="0" applyAlignment="0" applyProtection="0">
      <alignment vertical="center"/>
    </xf>
    <xf numFmtId="0" fontId="2" fillId="22" borderId="0" applyNumberFormat="0" applyBorder="0" applyAlignment="0" applyProtection="0">
      <alignment vertical="center"/>
    </xf>
    <xf numFmtId="0" fontId="2" fillId="26" borderId="0" applyNumberFormat="0" applyBorder="0" applyAlignment="0" applyProtection="0">
      <alignment vertical="center"/>
    </xf>
    <xf numFmtId="0" fontId="2" fillId="30" borderId="0" applyNumberFormat="0" applyBorder="0" applyAlignment="0" applyProtection="0">
      <alignment vertical="center"/>
    </xf>
    <xf numFmtId="0" fontId="2" fillId="34" borderId="0" applyNumberFormat="0" applyBorder="0" applyAlignment="0" applyProtection="0">
      <alignment vertical="center"/>
    </xf>
    <xf numFmtId="0" fontId="2" fillId="15" borderId="0" applyNumberFormat="0" applyBorder="0" applyAlignment="0" applyProtection="0">
      <alignment vertical="center"/>
    </xf>
    <xf numFmtId="0" fontId="2" fillId="19" borderId="0" applyNumberFormat="0" applyBorder="0" applyAlignment="0" applyProtection="0">
      <alignment vertical="center"/>
    </xf>
    <xf numFmtId="0" fontId="2" fillId="23" borderId="0" applyNumberFormat="0" applyBorder="0" applyAlignment="0" applyProtection="0">
      <alignment vertical="center"/>
    </xf>
    <xf numFmtId="0" fontId="2" fillId="27" borderId="0" applyNumberFormat="0" applyBorder="0" applyAlignment="0" applyProtection="0">
      <alignment vertical="center"/>
    </xf>
    <xf numFmtId="0" fontId="2" fillId="31" borderId="0" applyNumberFormat="0" applyBorder="0" applyAlignment="0" applyProtection="0">
      <alignment vertical="center"/>
    </xf>
    <xf numFmtId="0" fontId="2" fillId="35" borderId="0" applyNumberFormat="0" applyBorder="0" applyAlignment="0" applyProtection="0">
      <alignment vertical="center"/>
    </xf>
    <xf numFmtId="0" fontId="10" fillId="16" borderId="0" applyNumberFormat="0" applyBorder="0" applyAlignment="0" applyProtection="0">
      <alignment vertical="center"/>
    </xf>
    <xf numFmtId="0" fontId="10" fillId="20" borderId="0" applyNumberFormat="0" applyBorder="0" applyAlignment="0" applyProtection="0">
      <alignment vertical="center"/>
    </xf>
    <xf numFmtId="0" fontId="10" fillId="24" borderId="0" applyNumberFormat="0" applyBorder="0" applyAlignment="0" applyProtection="0">
      <alignment vertical="center"/>
    </xf>
    <xf numFmtId="0" fontId="10" fillId="28" borderId="0" applyNumberFormat="0" applyBorder="0" applyAlignment="0" applyProtection="0">
      <alignment vertical="center"/>
    </xf>
    <xf numFmtId="0" fontId="10" fillId="32" borderId="0" applyNumberFormat="0" applyBorder="0" applyAlignment="0" applyProtection="0">
      <alignment vertical="center"/>
    </xf>
    <xf numFmtId="0" fontId="10" fillId="36" borderId="0" applyNumberFormat="0" applyBorder="0" applyAlignment="0" applyProtection="0">
      <alignment vertical="center"/>
    </xf>
    <xf numFmtId="0" fontId="10" fillId="13" borderId="0" applyNumberFormat="0" applyBorder="0" applyAlignment="0" applyProtection="0">
      <alignment vertical="center"/>
    </xf>
    <xf numFmtId="0" fontId="10" fillId="17" borderId="0" applyNumberFormat="0" applyBorder="0" applyAlignment="0" applyProtection="0">
      <alignment vertical="center"/>
    </xf>
    <xf numFmtId="0" fontId="10" fillId="21" borderId="0" applyNumberFormat="0" applyBorder="0" applyAlignment="0" applyProtection="0">
      <alignment vertical="center"/>
    </xf>
    <xf numFmtId="0" fontId="10" fillId="25" borderId="0" applyNumberFormat="0" applyBorder="0" applyAlignment="0" applyProtection="0">
      <alignment vertical="center"/>
    </xf>
    <xf numFmtId="0" fontId="10" fillId="29" borderId="0" applyNumberFormat="0" applyBorder="0" applyAlignment="0" applyProtection="0">
      <alignment vertical="center"/>
    </xf>
    <xf numFmtId="0" fontId="10" fillId="33" borderId="0" applyNumberFormat="0" applyBorder="0" applyAlignment="0" applyProtection="0">
      <alignment vertical="center"/>
    </xf>
    <xf numFmtId="0" fontId="17" fillId="0" borderId="0" applyNumberFormat="0" applyFill="0" applyBorder="0" applyAlignment="0" applyProtection="0">
      <alignment vertical="center"/>
    </xf>
    <xf numFmtId="0" fontId="18" fillId="11" borderId="9" applyNumberFormat="0" applyAlignment="0" applyProtection="0">
      <alignment vertical="center"/>
    </xf>
    <xf numFmtId="0" fontId="19" fillId="8" borderId="0" applyNumberFormat="0" applyBorder="0" applyAlignment="0" applyProtection="0">
      <alignment vertical="center"/>
    </xf>
    <xf numFmtId="0" fontId="20" fillId="0" borderId="0" applyNumberFormat="0" applyFill="0" applyBorder="0" applyAlignment="0" applyProtection="0"/>
    <xf numFmtId="0" fontId="2" fillId="12" borderId="10" applyNumberFormat="0" applyFont="0" applyAlignment="0" applyProtection="0">
      <alignment vertical="center"/>
    </xf>
    <xf numFmtId="0" fontId="21" fillId="0" borderId="8" applyNumberFormat="0" applyFill="0" applyAlignment="0" applyProtection="0">
      <alignment vertical="center"/>
    </xf>
    <xf numFmtId="0" fontId="22" fillId="7" borderId="0" applyNumberFormat="0" applyBorder="0" applyAlignment="0" applyProtection="0">
      <alignment vertical="center"/>
    </xf>
    <xf numFmtId="0" fontId="23" fillId="10" borderId="6" applyNumberFormat="0" applyAlignment="0" applyProtection="0">
      <alignment vertical="center"/>
    </xf>
    <xf numFmtId="0" fontId="24" fillId="0" borderId="0" applyNumberFormat="0" applyFill="0" applyBorder="0" applyAlignment="0" applyProtection="0">
      <alignment vertical="center"/>
    </xf>
    <xf numFmtId="0" fontId="25" fillId="0" borderId="3" applyNumberFormat="0" applyFill="0" applyAlignment="0" applyProtection="0">
      <alignment vertical="center"/>
    </xf>
    <xf numFmtId="0" fontId="26" fillId="0" borderId="4" applyNumberFormat="0" applyFill="0" applyAlignment="0" applyProtection="0">
      <alignment vertical="center"/>
    </xf>
    <xf numFmtId="0" fontId="27" fillId="0" borderId="5" applyNumberFormat="0" applyFill="0" applyAlignment="0" applyProtection="0">
      <alignment vertical="center"/>
    </xf>
    <xf numFmtId="0" fontId="27" fillId="0" borderId="0" applyNumberFormat="0" applyFill="0" applyBorder="0" applyAlignment="0" applyProtection="0">
      <alignment vertical="center"/>
    </xf>
    <xf numFmtId="0" fontId="4" fillId="0" borderId="11" applyNumberFormat="0" applyFill="0" applyAlignment="0" applyProtection="0">
      <alignment vertical="center"/>
    </xf>
    <xf numFmtId="0" fontId="28" fillId="10" borderId="7" applyNumberFormat="0" applyAlignment="0" applyProtection="0">
      <alignment vertical="center"/>
    </xf>
    <xf numFmtId="0" fontId="29" fillId="0" borderId="0" applyNumberFormat="0" applyFill="0" applyBorder="0" applyAlignment="0" applyProtection="0">
      <alignment vertical="center"/>
    </xf>
    <xf numFmtId="0" fontId="30" fillId="9" borderId="6" applyNumberFormat="0" applyAlignment="0" applyProtection="0">
      <alignment vertical="center"/>
    </xf>
    <xf numFmtId="0" fontId="6" fillId="0" borderId="0">
      <alignment vertical="center"/>
    </xf>
    <xf numFmtId="0" fontId="2" fillId="0" borderId="0">
      <alignment vertical="center"/>
    </xf>
    <xf numFmtId="0" fontId="6" fillId="0" borderId="0">
      <alignment vertical="center"/>
    </xf>
    <xf numFmtId="0" fontId="31" fillId="6" borderId="0" applyNumberFormat="0" applyBorder="0" applyAlignment="0" applyProtection="0">
      <alignment vertical="center"/>
    </xf>
    <xf numFmtId="0" fontId="33" fillId="0" borderId="0" applyNumberFormat="0" applyFill="0" applyBorder="0" applyAlignment="0" applyProtection="0">
      <alignment vertical="center"/>
    </xf>
    <xf numFmtId="0" fontId="6" fillId="0" borderId="0">
      <alignment vertical="center"/>
    </xf>
  </cellStyleXfs>
  <cellXfs count="43">
    <xf numFmtId="0" fontId="0" fillId="0" borderId="0" xfId="0">
      <alignment vertical="center"/>
    </xf>
    <xf numFmtId="0" fontId="4" fillId="0" borderId="0" xfId="0" applyFont="1">
      <alignment vertical="center"/>
    </xf>
    <xf numFmtId="0" fontId="3" fillId="2" borderId="1" xfId="0" applyFont="1" applyFill="1" applyBorder="1" applyAlignment="1">
      <alignment horizontal="center" vertical="center"/>
    </xf>
    <xf numFmtId="0" fontId="10" fillId="2" borderId="1" xfId="0" applyFont="1" applyFill="1" applyBorder="1" applyAlignment="1">
      <alignment horizontal="center" vertical="center"/>
    </xf>
    <xf numFmtId="0" fontId="4" fillId="4" borderId="2" xfId="0" applyFont="1" applyFill="1" applyBorder="1" applyAlignment="1">
      <alignment horizontal="center" vertical="center"/>
    </xf>
    <xf numFmtId="0" fontId="0" fillId="5" borderId="0" xfId="0" applyFill="1">
      <alignment vertical="center"/>
    </xf>
    <xf numFmtId="0" fontId="0" fillId="3" borderId="0" xfId="0" applyFill="1">
      <alignment vertical="center"/>
    </xf>
    <xf numFmtId="0" fontId="9" fillId="0" borderId="1" xfId="0" applyFont="1" applyBorder="1" applyAlignment="1">
      <alignment horizontal="left" vertical="center"/>
    </xf>
    <xf numFmtId="0" fontId="14" fillId="0" borderId="0" xfId="0" applyFont="1">
      <alignment vertical="center"/>
    </xf>
    <xf numFmtId="0" fontId="15" fillId="4" borderId="2" xfId="0" applyFont="1" applyFill="1" applyBorder="1" applyAlignment="1">
      <alignment horizontal="center" vertical="center"/>
    </xf>
    <xf numFmtId="0" fontId="14" fillId="0" borderId="0" xfId="0" applyFont="1" applyAlignment="1">
      <alignment horizontal="right" vertical="center"/>
    </xf>
    <xf numFmtId="0" fontId="0" fillId="37" borderId="0" xfId="0" applyFill="1">
      <alignment vertical="center"/>
    </xf>
    <xf numFmtId="0" fontId="0" fillId="38" borderId="0" xfId="0" applyFill="1">
      <alignment vertical="center"/>
    </xf>
    <xf numFmtId="0" fontId="0" fillId="0" borderId="0" xfId="0" applyAlignment="1">
      <alignment horizontal="right" vertical="center"/>
    </xf>
    <xf numFmtId="0" fontId="32" fillId="0" borderId="0" xfId="0" applyFont="1">
      <alignment vertical="center"/>
    </xf>
    <xf numFmtId="0" fontId="4" fillId="38" borderId="0" xfId="0" applyFont="1" applyFill="1">
      <alignment vertical="center"/>
    </xf>
    <xf numFmtId="0" fontId="4" fillId="37" borderId="0" xfId="0" applyFont="1" applyFill="1">
      <alignment vertical="center"/>
    </xf>
    <xf numFmtId="0" fontId="33" fillId="0" borderId="0" xfId="63">
      <alignment vertical="center"/>
    </xf>
    <xf numFmtId="0" fontId="0" fillId="0" borderId="1" xfId="0" applyBorder="1" applyAlignment="1">
      <alignment vertical="center" wrapText="1"/>
    </xf>
    <xf numFmtId="0" fontId="0" fillId="0" borderId="1" xfId="0" applyBorder="1">
      <alignment vertical="center"/>
    </xf>
    <xf numFmtId="0" fontId="12" fillId="2" borderId="1" xfId="0" applyFont="1" applyFill="1" applyBorder="1">
      <alignment vertical="center"/>
    </xf>
    <xf numFmtId="0" fontId="13" fillId="2" borderId="1" xfId="0" applyFont="1" applyFill="1" applyBorder="1">
      <alignment vertical="center"/>
    </xf>
    <xf numFmtId="0" fontId="14" fillId="0" borderId="1" xfId="0" applyFont="1" applyBorder="1">
      <alignment vertical="center"/>
    </xf>
    <xf numFmtId="0" fontId="35" fillId="0" borderId="0" xfId="0" applyFont="1">
      <alignment vertical="center"/>
    </xf>
    <xf numFmtId="0" fontId="18" fillId="2" borderId="1" xfId="0" applyFont="1" applyFill="1" applyBorder="1" applyAlignment="1">
      <alignment horizontal="center" vertical="center"/>
    </xf>
    <xf numFmtId="0" fontId="34" fillId="39" borderId="1" xfId="0" applyFont="1" applyFill="1" applyBorder="1" applyAlignment="1">
      <alignment horizontal="center" vertical="center"/>
    </xf>
    <xf numFmtId="0" fontId="34" fillId="40" borderId="1" xfId="0" applyFont="1" applyFill="1" applyBorder="1" applyAlignment="1">
      <alignment horizontal="center" vertical="center"/>
    </xf>
    <xf numFmtId="0" fontId="36" fillId="0" borderId="0" xfId="0" applyFont="1">
      <alignment vertical="center"/>
    </xf>
    <xf numFmtId="0" fontId="37" fillId="0" borderId="0" xfId="0" applyFont="1">
      <alignment vertical="center"/>
    </xf>
    <xf numFmtId="0" fontId="38" fillId="0" borderId="0" xfId="0" applyFont="1">
      <alignment vertical="center"/>
    </xf>
    <xf numFmtId="0" fontId="39" fillId="0" borderId="0" xfId="0" applyFont="1">
      <alignment vertical="center"/>
    </xf>
    <xf numFmtId="0" fontId="40" fillId="0" borderId="0" xfId="0" applyFont="1">
      <alignment vertical="center"/>
    </xf>
    <xf numFmtId="0" fontId="41" fillId="0" borderId="0" xfId="0" applyFont="1">
      <alignment vertical="center"/>
    </xf>
    <xf numFmtId="0" fontId="42" fillId="0" borderId="0" xfId="0" applyFont="1">
      <alignment vertical="center"/>
    </xf>
    <xf numFmtId="0" fontId="43" fillId="0" borderId="0" xfId="0" applyFont="1">
      <alignment vertical="center"/>
    </xf>
    <xf numFmtId="14" fontId="35" fillId="0" borderId="0" xfId="0" applyNumberFormat="1" applyFont="1">
      <alignment vertical="center"/>
    </xf>
    <xf numFmtId="0" fontId="44" fillId="0" borderId="0" xfId="0" applyFont="1">
      <alignment vertical="center"/>
    </xf>
    <xf numFmtId="0" fontId="45" fillId="41" borderId="0" xfId="0" applyFont="1" applyFill="1">
      <alignment vertical="center"/>
    </xf>
    <xf numFmtId="0" fontId="10" fillId="2" borderId="1" xfId="64" applyFont="1" applyFill="1" applyBorder="1" applyAlignment="1">
      <alignment horizontal="center" vertical="center"/>
    </xf>
    <xf numFmtId="0" fontId="6" fillId="0" borderId="1" xfId="64" applyBorder="1">
      <alignment vertical="center"/>
    </xf>
    <xf numFmtId="0" fontId="6" fillId="0" borderId="1" xfId="64" applyBorder="1" applyAlignment="1">
      <alignment vertical="center" wrapText="1"/>
    </xf>
    <xf numFmtId="0" fontId="6" fillId="0" borderId="0" xfId="64">
      <alignment vertical="center"/>
    </xf>
    <xf numFmtId="0" fontId="35" fillId="0" borderId="0" xfId="64" applyFont="1">
      <alignment vertical="center"/>
    </xf>
  </cellXfs>
  <cellStyles count="65">
    <cellStyle name="20% - アクセント 1 2" xfId="18" xr:uid="{00000000-0005-0000-0000-000000000000}"/>
    <cellStyle name="20% - アクセント 2 2" xfId="19" xr:uid="{00000000-0005-0000-0000-000001000000}"/>
    <cellStyle name="20% - アクセント 3 2" xfId="20" xr:uid="{00000000-0005-0000-0000-000002000000}"/>
    <cellStyle name="20% - アクセント 4 2" xfId="21" xr:uid="{00000000-0005-0000-0000-000003000000}"/>
    <cellStyle name="20% - アクセント 5 2" xfId="22" xr:uid="{00000000-0005-0000-0000-000004000000}"/>
    <cellStyle name="20% - アクセント 6 2" xfId="23" xr:uid="{00000000-0005-0000-0000-000005000000}"/>
    <cellStyle name="40% - アクセント 1 2" xfId="24" xr:uid="{00000000-0005-0000-0000-000006000000}"/>
    <cellStyle name="40% - アクセント 2 2" xfId="25" xr:uid="{00000000-0005-0000-0000-000007000000}"/>
    <cellStyle name="40% - アクセント 3 2" xfId="26" xr:uid="{00000000-0005-0000-0000-000008000000}"/>
    <cellStyle name="40% - アクセント 4 2" xfId="27" xr:uid="{00000000-0005-0000-0000-000009000000}"/>
    <cellStyle name="40% - アクセント 5 2" xfId="28" xr:uid="{00000000-0005-0000-0000-00000A000000}"/>
    <cellStyle name="40% - アクセント 6 2" xfId="29" xr:uid="{00000000-0005-0000-0000-00000B000000}"/>
    <cellStyle name="60% - アクセント 1 2" xfId="30" xr:uid="{00000000-0005-0000-0000-00000C000000}"/>
    <cellStyle name="60% - アクセント 2 2" xfId="31" xr:uid="{00000000-0005-0000-0000-00000D000000}"/>
    <cellStyle name="60% - アクセント 3 2" xfId="32" xr:uid="{00000000-0005-0000-0000-00000E000000}"/>
    <cellStyle name="60% - アクセント 4 2" xfId="33" xr:uid="{00000000-0005-0000-0000-00000F000000}"/>
    <cellStyle name="60% - アクセント 5 2" xfId="34" xr:uid="{00000000-0005-0000-0000-000010000000}"/>
    <cellStyle name="60% - アクセント 6 2" xfId="35" xr:uid="{00000000-0005-0000-0000-000011000000}"/>
    <cellStyle name="アクセント 1 2" xfId="36" xr:uid="{00000000-0005-0000-0000-000012000000}"/>
    <cellStyle name="アクセント 2 2" xfId="37" xr:uid="{00000000-0005-0000-0000-000013000000}"/>
    <cellStyle name="アクセント 3 2" xfId="38" xr:uid="{00000000-0005-0000-0000-000014000000}"/>
    <cellStyle name="アクセント 4 2" xfId="39" xr:uid="{00000000-0005-0000-0000-000015000000}"/>
    <cellStyle name="アクセント 5 2" xfId="40" xr:uid="{00000000-0005-0000-0000-000016000000}"/>
    <cellStyle name="アクセント 6 2" xfId="41" xr:uid="{00000000-0005-0000-0000-000017000000}"/>
    <cellStyle name="タイトル 2" xfId="42" xr:uid="{00000000-0005-0000-0000-000018000000}"/>
    <cellStyle name="チェック セル 2" xfId="43" xr:uid="{00000000-0005-0000-0000-000019000000}"/>
    <cellStyle name="どちらでもない 2" xfId="44" xr:uid="{00000000-0005-0000-0000-00001A000000}"/>
    <cellStyle name="パーセント 2" xfId="2" xr:uid="{00000000-0005-0000-0000-00001B000000}"/>
    <cellStyle name="パーセント 2 2" xfId="6" xr:uid="{00000000-0005-0000-0000-00001C000000}"/>
    <cellStyle name="ハイパーリンク" xfId="63" builtinId="8"/>
    <cellStyle name="ハイパーリンク 2" xfId="45" xr:uid="{00000000-0005-0000-0000-00001E000000}"/>
    <cellStyle name="メモ 2" xfId="46" xr:uid="{00000000-0005-0000-0000-00001F000000}"/>
    <cellStyle name="リンク セル 2" xfId="47" xr:uid="{00000000-0005-0000-0000-000020000000}"/>
    <cellStyle name="悪い 2" xfId="48" xr:uid="{00000000-0005-0000-0000-000021000000}"/>
    <cellStyle name="計算 2" xfId="49" xr:uid="{00000000-0005-0000-0000-000022000000}"/>
    <cellStyle name="警告文 2" xfId="50" xr:uid="{00000000-0005-0000-0000-000023000000}"/>
    <cellStyle name="見出し 1 2" xfId="51" xr:uid="{00000000-0005-0000-0000-000024000000}"/>
    <cellStyle name="見出し 2 2" xfId="52" xr:uid="{00000000-0005-0000-0000-000025000000}"/>
    <cellStyle name="見出し 3 2" xfId="53" xr:uid="{00000000-0005-0000-0000-000026000000}"/>
    <cellStyle name="見出し 4 2" xfId="54" xr:uid="{00000000-0005-0000-0000-000027000000}"/>
    <cellStyle name="集計 2" xfId="55" xr:uid="{00000000-0005-0000-0000-000028000000}"/>
    <cellStyle name="出力 2" xfId="56" xr:uid="{00000000-0005-0000-0000-000029000000}"/>
    <cellStyle name="説明文 2" xfId="57" xr:uid="{00000000-0005-0000-0000-00002A000000}"/>
    <cellStyle name="入力 2" xfId="58" xr:uid="{00000000-0005-0000-0000-00002B000000}"/>
    <cellStyle name="標準" xfId="0" builtinId="0"/>
    <cellStyle name="標準 10" xfId="16" xr:uid="{00000000-0005-0000-0000-00002D000000}"/>
    <cellStyle name="標準 11" xfId="59" xr:uid="{00000000-0005-0000-0000-00002E000000}"/>
    <cellStyle name="標準 16" xfId="64" xr:uid="{00000000-0005-0000-0000-00002F000000}"/>
    <cellStyle name="標準 2" xfId="1" xr:uid="{00000000-0005-0000-0000-000030000000}"/>
    <cellStyle name="標準 2 2" xfId="12" xr:uid="{00000000-0005-0000-0000-000031000000}"/>
    <cellStyle name="標準 2 2 2" xfId="15" xr:uid="{00000000-0005-0000-0000-000032000000}"/>
    <cellStyle name="標準 2 3" xfId="13" xr:uid="{00000000-0005-0000-0000-000033000000}"/>
    <cellStyle name="標準 2 4" xfId="9" xr:uid="{00000000-0005-0000-0000-000034000000}"/>
    <cellStyle name="標準 3" xfId="5" xr:uid="{00000000-0005-0000-0000-000035000000}"/>
    <cellStyle name="標準 3 2" xfId="7" xr:uid="{00000000-0005-0000-0000-000036000000}"/>
    <cellStyle name="標準 3 3" xfId="60" xr:uid="{00000000-0005-0000-0000-000037000000}"/>
    <cellStyle name="標準 4" xfId="11" xr:uid="{00000000-0005-0000-0000-000038000000}"/>
    <cellStyle name="標準 5" xfId="8" xr:uid="{00000000-0005-0000-0000-000039000000}"/>
    <cellStyle name="標準 5 2" xfId="14" xr:uid="{00000000-0005-0000-0000-00003A000000}"/>
    <cellStyle name="標準 5 3" xfId="10" xr:uid="{00000000-0005-0000-0000-00003B000000}"/>
    <cellStyle name="標準 6" xfId="4" xr:uid="{00000000-0005-0000-0000-00003C000000}"/>
    <cellStyle name="標準 7" xfId="3" xr:uid="{00000000-0005-0000-0000-00003D000000}"/>
    <cellStyle name="標準 8" xfId="17" xr:uid="{00000000-0005-0000-0000-00003E000000}"/>
    <cellStyle name="標準 9" xfId="61" xr:uid="{00000000-0005-0000-0000-00003F000000}"/>
    <cellStyle name="良い 2" xfId="62" xr:uid="{00000000-0005-0000-0000-000040000000}"/>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hyperlink" Target="&#12456;&#12463;&#12475;&#12523;&#29992;&#12484;&#12540;&#12523;.xlsm" TargetMode="External"/></Relationships>
</file>

<file path=xl/drawings/drawing1.xml><?xml version="1.0" encoding="utf-8"?>
<xdr:wsDr xmlns:xdr="http://schemas.openxmlformats.org/drawingml/2006/spreadsheetDrawing" xmlns:a="http://schemas.openxmlformats.org/drawingml/2006/main">
  <xdr:oneCellAnchor>
    <xdr:from>
      <xdr:col>1</xdr:col>
      <xdr:colOff>333375</xdr:colOff>
      <xdr:row>3</xdr:row>
      <xdr:rowOff>114300</xdr:rowOff>
    </xdr:from>
    <xdr:ext cx="2432269" cy="2786850"/>
    <xdr:pic>
      <xdr:nvPicPr>
        <xdr:cNvPr id="2" name="図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19175" y="628650"/>
          <a:ext cx="2432269" cy="278685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oneCellAnchor>
  <xdr:oneCellAnchor>
    <xdr:from>
      <xdr:col>1</xdr:col>
      <xdr:colOff>257175</xdr:colOff>
      <xdr:row>28</xdr:row>
      <xdr:rowOff>9525</xdr:rowOff>
    </xdr:from>
    <xdr:ext cx="2627771" cy="2223247"/>
    <xdr:pic>
      <xdr:nvPicPr>
        <xdr:cNvPr id="3" name="図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2975" y="4810125"/>
          <a:ext cx="2627771" cy="2223247"/>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oneCellAnchor>
  <xdr:oneCellAnchor>
    <xdr:from>
      <xdr:col>1</xdr:col>
      <xdr:colOff>171196</xdr:colOff>
      <xdr:row>77</xdr:row>
      <xdr:rowOff>163453</xdr:rowOff>
    </xdr:from>
    <xdr:ext cx="3571569" cy="1739167"/>
    <xdr:pic>
      <xdr:nvPicPr>
        <xdr:cNvPr id="6" name="図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6520" y="13106247"/>
          <a:ext cx="3571569" cy="1739167"/>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oneCellAnchor>
  <xdr:oneCellAnchor>
    <xdr:from>
      <xdr:col>1</xdr:col>
      <xdr:colOff>258909</xdr:colOff>
      <xdr:row>94</xdr:row>
      <xdr:rowOff>58881</xdr:rowOff>
    </xdr:from>
    <xdr:ext cx="3719180" cy="3233773"/>
    <xdr:pic>
      <xdr:nvPicPr>
        <xdr:cNvPr id="7" name="図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4709" y="18061131"/>
          <a:ext cx="3719180" cy="3233773"/>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oneCellAnchor>
  <xdr:oneCellAnchor>
    <xdr:from>
      <xdr:col>1</xdr:col>
      <xdr:colOff>305616</xdr:colOff>
      <xdr:row>117</xdr:row>
      <xdr:rowOff>119189</xdr:rowOff>
    </xdr:from>
    <xdr:ext cx="3677508" cy="3388251"/>
    <xdr:pic>
      <xdr:nvPicPr>
        <xdr:cNvPr id="8" name="図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91416" y="22064789"/>
          <a:ext cx="3677508" cy="338825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oneCellAnchor>
  <xdr:oneCellAnchor>
    <xdr:from>
      <xdr:col>1</xdr:col>
      <xdr:colOff>253661</xdr:colOff>
      <xdr:row>142</xdr:row>
      <xdr:rowOff>40748</xdr:rowOff>
    </xdr:from>
    <xdr:ext cx="3724428" cy="3655354"/>
    <xdr:pic>
      <xdr:nvPicPr>
        <xdr:cNvPr id="9" name="図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39461" y="26272598"/>
          <a:ext cx="3724428" cy="365535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oneCellAnchor>
  <xdr:oneCellAnchor>
    <xdr:from>
      <xdr:col>1</xdr:col>
      <xdr:colOff>140585</xdr:colOff>
      <xdr:row>172</xdr:row>
      <xdr:rowOff>2038</xdr:rowOff>
    </xdr:from>
    <xdr:ext cx="4319357" cy="3474174"/>
    <xdr:pic>
      <xdr:nvPicPr>
        <xdr:cNvPr id="10" name="図 9">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26385" y="31377388"/>
          <a:ext cx="4319357" cy="347417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302559</xdr:colOff>
      <xdr:row>54</xdr:row>
      <xdr:rowOff>44825</xdr:rowOff>
    </xdr:from>
    <xdr:to>
      <xdr:col>4</xdr:col>
      <xdr:colOff>403412</xdr:colOff>
      <xdr:row>70</xdr:row>
      <xdr:rowOff>119052</xdr:rowOff>
    </xdr:to>
    <xdr:pic>
      <xdr:nvPicPr>
        <xdr:cNvPr id="11" name="図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37883" y="9121590"/>
          <a:ext cx="2151529" cy="2763638"/>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22412</xdr:colOff>
      <xdr:row>61</xdr:row>
      <xdr:rowOff>56030</xdr:rowOff>
    </xdr:from>
    <xdr:to>
      <xdr:col>9</xdr:col>
      <xdr:colOff>392206</xdr:colOff>
      <xdr:row>63</xdr:row>
      <xdr:rowOff>123265</xdr:rowOff>
    </xdr:to>
    <xdr:sp macro="" textlink="">
      <xdr:nvSpPr>
        <xdr:cNvPr id="4" name="角丸四角形 3">
          <a:hlinkClick xmlns:r="http://schemas.openxmlformats.org/officeDocument/2006/relationships" r:id="rId9"/>
          <a:extLst>
            <a:ext uri="{FF2B5EF4-FFF2-40B4-BE49-F238E27FC236}">
              <a16:creationId xmlns:a16="http://schemas.microsoft.com/office/drawing/2014/main" id="{00000000-0008-0000-0000-000004000000}"/>
            </a:ext>
          </a:extLst>
        </xdr:cNvPr>
        <xdr:cNvSpPr/>
      </xdr:nvSpPr>
      <xdr:spPr>
        <a:xfrm>
          <a:off x="4359088" y="10309412"/>
          <a:ext cx="1736912" cy="40341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t>エクセル用ツール</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50800</xdr:colOff>
          <xdr:row>2</xdr:row>
          <xdr:rowOff>133350</xdr:rowOff>
        </xdr:from>
        <xdr:to>
          <xdr:col>3</xdr:col>
          <xdr:colOff>1822450</xdr:colOff>
          <xdr:row>4</xdr:row>
          <xdr:rowOff>88900</xdr:rowOff>
        </xdr:to>
        <xdr:sp macro="" textlink="">
          <xdr:nvSpPr>
            <xdr:cNvPr id="93186" name="Button 2" hidden="1">
              <a:extLst>
                <a:ext uri="{63B3BB69-23CF-44E3-9099-C40C66FF867C}">
                  <a14:compatExt spid="_x0000_s93186"/>
                </a:ext>
                <a:ext uri="{FF2B5EF4-FFF2-40B4-BE49-F238E27FC236}">
                  <a16:creationId xmlns:a16="http://schemas.microsoft.com/office/drawing/2014/main" id="{00000000-0008-0000-0100-0000026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出力</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165100</xdr:rowOff>
        </xdr:from>
        <xdr:to>
          <xdr:col>4</xdr:col>
          <xdr:colOff>1809750</xdr:colOff>
          <xdr:row>4</xdr:row>
          <xdr:rowOff>114300</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0200-000001B0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集約</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xdr:colOff>
          <xdr:row>2</xdr:row>
          <xdr:rowOff>38100</xdr:rowOff>
        </xdr:from>
        <xdr:to>
          <xdr:col>4</xdr:col>
          <xdr:colOff>1098550</xdr:colOff>
          <xdr:row>4</xdr:row>
          <xdr:rowOff>0</xdr:rowOff>
        </xdr:to>
        <xdr:sp macro="" textlink="">
          <xdr:nvSpPr>
            <xdr:cNvPr id="111617" name="Button 1" hidden="1">
              <a:extLst>
                <a:ext uri="{63B3BB69-23CF-44E3-9099-C40C66FF867C}">
                  <a14:compatExt spid="_x0000_s111617"/>
                </a:ext>
                <a:ext uri="{FF2B5EF4-FFF2-40B4-BE49-F238E27FC236}">
                  <a16:creationId xmlns:a16="http://schemas.microsoft.com/office/drawing/2014/main" id="{00000000-0008-0000-0300-000001B4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HTMLタグに変換</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50800</xdr:colOff>
          <xdr:row>2</xdr:row>
          <xdr:rowOff>133350</xdr:rowOff>
        </xdr:from>
        <xdr:to>
          <xdr:col>5</xdr:col>
          <xdr:colOff>1822450</xdr:colOff>
          <xdr:row>4</xdr:row>
          <xdr:rowOff>88900</xdr:rowOff>
        </xdr:to>
        <xdr:sp macro="" textlink="">
          <xdr:nvSpPr>
            <xdr:cNvPr id="112641" name="Button 1" hidden="1">
              <a:extLst>
                <a:ext uri="{63B3BB69-23CF-44E3-9099-C40C66FF867C}">
                  <a14:compatExt spid="_x0000_s112641"/>
                </a:ext>
                <a:ext uri="{FF2B5EF4-FFF2-40B4-BE49-F238E27FC236}">
                  <a16:creationId xmlns:a16="http://schemas.microsoft.com/office/drawing/2014/main" id="{00000000-0008-0000-0400-000001B8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出力</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50800</xdr:colOff>
          <xdr:row>2</xdr:row>
          <xdr:rowOff>133350</xdr:rowOff>
        </xdr:from>
        <xdr:to>
          <xdr:col>3</xdr:col>
          <xdr:colOff>1822450</xdr:colOff>
          <xdr:row>4</xdr:row>
          <xdr:rowOff>88900</xdr:rowOff>
        </xdr:to>
        <xdr:sp macro="" textlink="">
          <xdr:nvSpPr>
            <xdr:cNvPr id="113665" name="Button 1" hidden="1">
              <a:extLst>
                <a:ext uri="{63B3BB69-23CF-44E3-9099-C40C66FF867C}">
                  <a14:compatExt spid="_x0000_s113665"/>
                </a:ext>
                <a:ext uri="{FF2B5EF4-FFF2-40B4-BE49-F238E27FC236}">
                  <a16:creationId xmlns:a16="http://schemas.microsoft.com/office/drawing/2014/main" id="{00000000-0008-0000-0500-000001B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出力</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12456;&#12463;&#12475;&#12523;&#29992;&#12484;&#12540;&#12523;.xls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K202"/>
  <sheetViews>
    <sheetView zoomScale="85" zoomScaleNormal="85" workbookViewId="0">
      <selection activeCell="M81" sqref="M81"/>
    </sheetView>
  </sheetViews>
  <sheetFormatPr defaultColWidth="9" defaultRowHeight="13" x14ac:dyDescent="0.2"/>
  <cols>
    <col min="1" max="1" width="3.08984375" style="1" customWidth="1"/>
  </cols>
  <sheetData>
    <row r="1" spans="1:11" x14ac:dyDescent="0.2">
      <c r="A1" s="15"/>
      <c r="B1" s="12"/>
      <c r="C1" s="12"/>
      <c r="D1" s="12"/>
      <c r="E1" s="12"/>
      <c r="F1" s="12"/>
      <c r="G1" s="12"/>
      <c r="H1" s="12"/>
      <c r="I1" s="12"/>
      <c r="J1" s="12"/>
      <c r="K1" s="12"/>
    </row>
    <row r="2" spans="1:11" x14ac:dyDescent="0.2">
      <c r="A2" s="1" t="s">
        <v>29</v>
      </c>
      <c r="B2" t="s">
        <v>92</v>
      </c>
    </row>
    <row r="3" spans="1:11" x14ac:dyDescent="0.2">
      <c r="B3" t="s">
        <v>34</v>
      </c>
    </row>
    <row r="23" spans="1:11" x14ac:dyDescent="0.2">
      <c r="A23" s="15"/>
      <c r="B23" s="12"/>
      <c r="C23" s="12"/>
      <c r="D23" s="12"/>
      <c r="E23" s="12"/>
      <c r="F23" s="12"/>
      <c r="G23" s="12"/>
      <c r="H23" s="12"/>
      <c r="I23" s="12"/>
      <c r="J23" s="12"/>
      <c r="K23" s="12"/>
    </row>
    <row r="24" spans="1:11" x14ac:dyDescent="0.2">
      <c r="A24" s="1" t="s">
        <v>27</v>
      </c>
      <c r="B24" t="s">
        <v>33</v>
      </c>
    </row>
    <row r="25" spans="1:11" x14ac:dyDescent="0.2">
      <c r="B25" t="s">
        <v>32</v>
      </c>
    </row>
    <row r="26" spans="1:11" x14ac:dyDescent="0.2">
      <c r="B26" t="s">
        <v>31</v>
      </c>
    </row>
    <row r="27" spans="1:11" x14ac:dyDescent="0.2">
      <c r="B27" t="s">
        <v>30</v>
      </c>
    </row>
    <row r="44" spans="1:11" x14ac:dyDescent="0.2">
      <c r="A44" s="15"/>
      <c r="B44" s="12"/>
      <c r="C44" s="12"/>
      <c r="D44" s="12"/>
      <c r="E44" s="12"/>
      <c r="F44" s="12"/>
      <c r="G44" s="12"/>
      <c r="H44" s="12"/>
      <c r="I44" s="12"/>
      <c r="J44" s="12"/>
      <c r="K44" s="12"/>
    </row>
    <row r="45" spans="1:11" x14ac:dyDescent="0.2">
      <c r="A45" s="1" t="s">
        <v>26</v>
      </c>
      <c r="B45" t="s">
        <v>35</v>
      </c>
    </row>
    <row r="46" spans="1:11" x14ac:dyDescent="0.2">
      <c r="B46" t="s">
        <v>36</v>
      </c>
    </row>
    <row r="47" spans="1:11" x14ac:dyDescent="0.2">
      <c r="B47" t="s">
        <v>37</v>
      </c>
    </row>
    <row r="49" spans="2:8" x14ac:dyDescent="0.2">
      <c r="B49" t="s">
        <v>38</v>
      </c>
    </row>
    <row r="50" spans="2:8" x14ac:dyDescent="0.2">
      <c r="B50" t="s">
        <v>39</v>
      </c>
    </row>
    <row r="51" spans="2:8" x14ac:dyDescent="0.2">
      <c r="B51" t="s">
        <v>40</v>
      </c>
    </row>
    <row r="52" spans="2:8" x14ac:dyDescent="0.2">
      <c r="B52" s="14" t="s">
        <v>41</v>
      </c>
    </row>
    <row r="57" spans="2:8" x14ac:dyDescent="0.2">
      <c r="G57" t="s">
        <v>43</v>
      </c>
      <c r="H57" s="17"/>
    </row>
    <row r="58" spans="2:8" x14ac:dyDescent="0.2">
      <c r="H58" s="17" t="s">
        <v>42</v>
      </c>
    </row>
    <row r="61" spans="2:8" x14ac:dyDescent="0.2">
      <c r="G61" t="s">
        <v>44</v>
      </c>
    </row>
    <row r="74" spans="1:11" x14ac:dyDescent="0.2">
      <c r="A74" s="16"/>
      <c r="B74" s="11"/>
      <c r="C74" s="11"/>
      <c r="D74" s="11"/>
      <c r="E74" s="11"/>
      <c r="F74" s="11"/>
      <c r="G74" s="11"/>
      <c r="H74" s="11"/>
      <c r="I74" s="11"/>
      <c r="J74" s="11"/>
      <c r="K74" s="11"/>
    </row>
    <row r="75" spans="1:11" x14ac:dyDescent="0.2">
      <c r="A75" s="1" t="s">
        <v>7</v>
      </c>
    </row>
    <row r="76" spans="1:11" x14ac:dyDescent="0.2">
      <c r="A76" s="1" t="s">
        <v>29</v>
      </c>
      <c r="B76" t="s">
        <v>28</v>
      </c>
    </row>
    <row r="77" spans="1:11" x14ac:dyDescent="0.2">
      <c r="B77" t="s">
        <v>8</v>
      </c>
    </row>
    <row r="91" spans="1:11" x14ac:dyDescent="0.2">
      <c r="A91" s="16"/>
      <c r="B91" s="11"/>
      <c r="C91" s="11"/>
      <c r="D91" s="11"/>
      <c r="E91" s="11"/>
      <c r="F91" s="11"/>
      <c r="G91" s="11"/>
      <c r="H91" s="11"/>
      <c r="I91" s="11"/>
      <c r="J91" s="11"/>
      <c r="K91" s="11"/>
    </row>
    <row r="92" spans="1:11" x14ac:dyDescent="0.2">
      <c r="A92" s="1" t="s">
        <v>27</v>
      </c>
      <c r="B92" t="s">
        <v>10</v>
      </c>
    </row>
    <row r="116" spans="1:11" x14ac:dyDescent="0.2">
      <c r="A116" s="16"/>
      <c r="B116" s="11"/>
      <c r="C116" s="11"/>
      <c r="D116" s="11"/>
      <c r="E116" s="11"/>
      <c r="F116" s="11"/>
      <c r="G116" s="11"/>
      <c r="H116" s="11"/>
      <c r="I116" s="11"/>
      <c r="J116" s="11"/>
      <c r="K116" s="11"/>
    </row>
    <row r="117" spans="1:11" x14ac:dyDescent="0.2">
      <c r="A117" s="1" t="s">
        <v>26</v>
      </c>
      <c r="B117" t="s">
        <v>11</v>
      </c>
    </row>
    <row r="140" spans="1:11" x14ac:dyDescent="0.2">
      <c r="A140" s="16"/>
      <c r="B140" s="11"/>
      <c r="C140" s="11"/>
      <c r="D140" s="11"/>
      <c r="E140" s="11"/>
      <c r="F140" s="11"/>
      <c r="G140" s="11"/>
      <c r="H140" s="11"/>
      <c r="I140" s="11"/>
      <c r="J140" s="11"/>
      <c r="K140" s="11"/>
    </row>
    <row r="141" spans="1:11" x14ac:dyDescent="0.2">
      <c r="A141" s="1" t="s">
        <v>25</v>
      </c>
      <c r="B141" t="s">
        <v>9</v>
      </c>
    </row>
    <row r="166" spans="1:11" x14ac:dyDescent="0.2">
      <c r="A166" s="16"/>
      <c r="B166" s="11"/>
      <c r="C166" s="11"/>
      <c r="D166" s="11"/>
      <c r="E166" s="11"/>
      <c r="F166" s="11"/>
      <c r="G166" s="11"/>
      <c r="H166" s="11"/>
      <c r="I166" s="11"/>
      <c r="J166" s="11"/>
      <c r="K166" s="11"/>
    </row>
    <row r="167" spans="1:11" x14ac:dyDescent="0.2">
      <c r="A167" s="1" t="s">
        <v>24</v>
      </c>
      <c r="B167" t="s">
        <v>13</v>
      </c>
    </row>
    <row r="168" spans="1:11" x14ac:dyDescent="0.2">
      <c r="B168" t="s">
        <v>12</v>
      </c>
    </row>
    <row r="169" spans="1:11" x14ac:dyDescent="0.2">
      <c r="B169" t="s">
        <v>14</v>
      </c>
    </row>
    <row r="170" spans="1:11" x14ac:dyDescent="0.2">
      <c r="B170" t="s">
        <v>15</v>
      </c>
    </row>
    <row r="171" spans="1:11" x14ac:dyDescent="0.2">
      <c r="B171" t="s">
        <v>16</v>
      </c>
    </row>
    <row r="195" spans="1:11" x14ac:dyDescent="0.2">
      <c r="A195" s="16"/>
      <c r="B195" s="11"/>
      <c r="C195" s="11"/>
      <c r="D195" s="11"/>
      <c r="E195" s="11"/>
      <c r="F195" s="11"/>
      <c r="G195" s="11"/>
      <c r="H195" s="11"/>
      <c r="I195" s="11"/>
      <c r="J195" s="11"/>
      <c r="K195" s="11"/>
    </row>
    <row r="196" spans="1:11" x14ac:dyDescent="0.2">
      <c r="A196" s="1" t="s">
        <v>23</v>
      </c>
      <c r="B196" t="s">
        <v>17</v>
      </c>
    </row>
    <row r="197" spans="1:11" x14ac:dyDescent="0.2">
      <c r="B197" t="s">
        <v>18</v>
      </c>
    </row>
    <row r="198" spans="1:11" x14ac:dyDescent="0.2">
      <c r="B198" t="s">
        <v>19</v>
      </c>
    </row>
    <row r="199" spans="1:11" x14ac:dyDescent="0.2">
      <c r="B199" t="s">
        <v>20</v>
      </c>
    </row>
    <row r="200" spans="1:11" x14ac:dyDescent="0.2">
      <c r="B200" t="s">
        <v>21</v>
      </c>
    </row>
    <row r="202" spans="1:11" x14ac:dyDescent="0.2">
      <c r="B202" t="s">
        <v>22</v>
      </c>
    </row>
  </sheetData>
  <phoneticPr fontId="1"/>
  <hyperlinks>
    <hyperlink ref="H5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dimension ref="A1:J78"/>
  <sheetViews>
    <sheetView workbookViewId="0">
      <selection activeCell="E2" sqref="E2"/>
    </sheetView>
  </sheetViews>
  <sheetFormatPr defaultRowHeight="13" x14ac:dyDescent="0.2"/>
  <cols>
    <col min="1" max="1" width="32.453125" bestFit="1" customWidth="1"/>
    <col min="2" max="2" width="19.36328125" customWidth="1"/>
    <col min="4" max="4" width="25" bestFit="1" customWidth="1"/>
    <col min="6" max="6" width="2" customWidth="1"/>
    <col min="7" max="7" width="2" style="5" customWidth="1"/>
    <col min="8" max="8" width="2" customWidth="1"/>
    <col min="9" max="9" width="2.453125" style="30" customWidth="1"/>
    <col min="10" max="10" width="10.26953125" style="23" bestFit="1" customWidth="1"/>
  </cols>
  <sheetData>
    <row r="1" spans="1:10" ht="14" thickTop="1" thickBot="1" x14ac:dyDescent="0.25">
      <c r="A1" s="2" t="s">
        <v>6</v>
      </c>
      <c r="B1" s="3" t="s">
        <v>0</v>
      </c>
      <c r="D1" s="4" t="s">
        <v>1</v>
      </c>
      <c r="E1" s="4" t="s">
        <v>184</v>
      </c>
    </row>
    <row r="2" spans="1:10" ht="13.5" thickTop="1" x14ac:dyDescent="0.2">
      <c r="A2" s="18"/>
      <c r="B2" s="19"/>
      <c r="D2" s="13"/>
      <c r="I2" s="31" t="s">
        <v>98</v>
      </c>
    </row>
    <row r="3" spans="1:10" x14ac:dyDescent="0.2">
      <c r="A3" s="19"/>
      <c r="B3" s="19"/>
      <c r="J3" s="23" t="s">
        <v>99</v>
      </c>
    </row>
    <row r="4" spans="1:10" x14ac:dyDescent="0.2">
      <c r="A4" s="19"/>
      <c r="B4" s="19"/>
      <c r="J4" s="36" t="s">
        <v>100</v>
      </c>
    </row>
    <row r="5" spans="1:10" x14ac:dyDescent="0.2">
      <c r="A5" s="18"/>
      <c r="B5" s="19"/>
      <c r="J5" s="23" t="s">
        <v>109</v>
      </c>
    </row>
    <row r="6" spans="1:10" x14ac:dyDescent="0.2">
      <c r="A6" s="7"/>
      <c r="B6" s="19"/>
      <c r="D6" s="14" t="str">
        <f ca="1">IF(MID(CELL("filename",A1),FIND("[",CELL("filename",A1))+1,FIND("]",CELL("filename",A1))-FIND("[",CELL("filename",A1))-1)="エクセル用ツール.xlsm","ここからの直接起動はできません！","")</f>
        <v>ここからの直接起動はできません！</v>
      </c>
    </row>
    <row r="7" spans="1:10" x14ac:dyDescent="0.2">
      <c r="A7" s="18"/>
      <c r="B7" s="18"/>
      <c r="I7" s="32" t="s">
        <v>48</v>
      </c>
    </row>
    <row r="8" spans="1:10" x14ac:dyDescent="0.2">
      <c r="J8" s="23" t="s">
        <v>68</v>
      </c>
    </row>
    <row r="9" spans="1:10" x14ac:dyDescent="0.2">
      <c r="J9" s="23" t="s">
        <v>69</v>
      </c>
    </row>
    <row r="10" spans="1:10" x14ac:dyDescent="0.2">
      <c r="J10" s="23" t="s">
        <v>71</v>
      </c>
    </row>
    <row r="11" spans="1:10" x14ac:dyDescent="0.2">
      <c r="I11" s="29"/>
      <c r="J11" s="23" t="s">
        <v>70</v>
      </c>
    </row>
    <row r="12" spans="1:10" x14ac:dyDescent="0.2">
      <c r="I12" s="29"/>
    </row>
    <row r="13" spans="1:10" x14ac:dyDescent="0.2">
      <c r="I13" s="33" t="s">
        <v>72</v>
      </c>
    </row>
    <row r="14" spans="1:10" x14ac:dyDescent="0.2">
      <c r="I14" s="29"/>
    </row>
    <row r="15" spans="1:10" x14ac:dyDescent="0.2">
      <c r="J15" s="23" t="s">
        <v>54</v>
      </c>
    </row>
    <row r="16" spans="1:10" x14ac:dyDescent="0.2">
      <c r="J16" s="23" t="s">
        <v>49</v>
      </c>
    </row>
    <row r="18" spans="9:10" x14ac:dyDescent="0.2">
      <c r="J18" s="23" t="s">
        <v>55</v>
      </c>
    </row>
    <row r="19" spans="9:10" x14ac:dyDescent="0.2">
      <c r="J19" s="23" t="s">
        <v>56</v>
      </c>
    </row>
    <row r="21" spans="9:10" x14ac:dyDescent="0.2">
      <c r="J21" s="23" t="s">
        <v>57</v>
      </c>
    </row>
    <row r="22" spans="9:10" x14ac:dyDescent="0.2">
      <c r="J22" s="23" t="s">
        <v>58</v>
      </c>
    </row>
    <row r="24" spans="9:10" x14ac:dyDescent="0.2">
      <c r="J24" s="23" t="s">
        <v>59</v>
      </c>
    </row>
    <row r="25" spans="9:10" x14ac:dyDescent="0.2">
      <c r="J25" s="23" t="s">
        <v>60</v>
      </c>
    </row>
    <row r="26" spans="9:10" x14ac:dyDescent="0.2">
      <c r="J26" s="23" t="s">
        <v>61</v>
      </c>
    </row>
    <row r="27" spans="9:10" x14ac:dyDescent="0.2">
      <c r="J27" s="23" t="s">
        <v>62</v>
      </c>
    </row>
    <row r="29" spans="9:10" x14ac:dyDescent="0.2">
      <c r="I29" s="34" t="s">
        <v>63</v>
      </c>
    </row>
    <row r="30" spans="9:10" x14ac:dyDescent="0.2">
      <c r="J30" s="23" t="s">
        <v>50</v>
      </c>
    </row>
    <row r="31" spans="9:10" x14ac:dyDescent="0.2">
      <c r="J31" s="23" t="s">
        <v>51</v>
      </c>
    </row>
    <row r="33" spans="10:10" x14ac:dyDescent="0.2">
      <c r="J33" s="23" t="s">
        <v>106</v>
      </c>
    </row>
    <row r="34" spans="10:10" x14ac:dyDescent="0.2">
      <c r="J34" s="36" t="s">
        <v>52</v>
      </c>
    </row>
    <row r="35" spans="10:10" x14ac:dyDescent="0.2">
      <c r="J35" s="23" t="s">
        <v>53</v>
      </c>
    </row>
    <row r="37" spans="10:10" x14ac:dyDescent="0.2">
      <c r="J37" s="23" t="s">
        <v>93</v>
      </c>
    </row>
    <row r="38" spans="10:10" x14ac:dyDescent="0.2">
      <c r="J38" s="23" t="s">
        <v>94</v>
      </c>
    </row>
    <row r="40" spans="10:10" x14ac:dyDescent="0.2">
      <c r="J40" s="23" t="s">
        <v>95</v>
      </c>
    </row>
    <row r="41" spans="10:10" x14ac:dyDescent="0.2">
      <c r="J41" s="23" t="s">
        <v>96</v>
      </c>
    </row>
    <row r="42" spans="10:10" x14ac:dyDescent="0.2">
      <c r="J42" s="23" t="s">
        <v>97</v>
      </c>
    </row>
    <row r="44" spans="10:10" x14ac:dyDescent="0.2">
      <c r="J44" s="23" t="s">
        <v>101</v>
      </c>
    </row>
    <row r="45" spans="10:10" x14ac:dyDescent="0.2">
      <c r="J45" s="23" t="s">
        <v>102</v>
      </c>
    </row>
    <row r="47" spans="10:10" x14ac:dyDescent="0.2">
      <c r="J47" s="35" t="s">
        <v>103</v>
      </c>
    </row>
    <row r="48" spans="10:10" x14ac:dyDescent="0.2">
      <c r="J48" s="23" t="s">
        <v>104</v>
      </c>
    </row>
    <row r="49" spans="10:10" x14ac:dyDescent="0.2">
      <c r="J49" s="23" t="s">
        <v>105</v>
      </c>
    </row>
    <row r="51" spans="10:10" x14ac:dyDescent="0.2">
      <c r="J51" s="23" t="s">
        <v>107</v>
      </c>
    </row>
    <row r="52" spans="10:10" x14ac:dyDescent="0.2">
      <c r="J52" s="23" t="s">
        <v>108</v>
      </c>
    </row>
    <row r="54" spans="10:10" x14ac:dyDescent="0.2">
      <c r="J54" s="23" t="s">
        <v>110</v>
      </c>
    </row>
    <row r="55" spans="10:10" x14ac:dyDescent="0.2">
      <c r="J55" s="23" t="s">
        <v>111</v>
      </c>
    </row>
    <row r="56" spans="10:10" x14ac:dyDescent="0.2">
      <c r="J56" s="23" t="s">
        <v>112</v>
      </c>
    </row>
    <row r="58" spans="10:10" x14ac:dyDescent="0.2">
      <c r="J58" s="35">
        <v>41121</v>
      </c>
    </row>
    <row r="59" spans="10:10" x14ac:dyDescent="0.2">
      <c r="J59" s="23" t="s">
        <v>127</v>
      </c>
    </row>
    <row r="61" spans="10:10" x14ac:dyDescent="0.2">
      <c r="J61" s="35">
        <v>41148</v>
      </c>
    </row>
    <row r="62" spans="10:10" x14ac:dyDescent="0.2">
      <c r="J62" s="23" t="s">
        <v>128</v>
      </c>
    </row>
    <row r="64" spans="10:10" x14ac:dyDescent="0.2">
      <c r="J64" s="35">
        <v>41332</v>
      </c>
    </row>
    <row r="65" spans="10:10" x14ac:dyDescent="0.2">
      <c r="J65" s="23" t="s">
        <v>129</v>
      </c>
    </row>
    <row r="67" spans="10:10" x14ac:dyDescent="0.2">
      <c r="J67" s="35">
        <v>41523</v>
      </c>
    </row>
    <row r="68" spans="10:10" x14ac:dyDescent="0.2">
      <c r="J68" s="23" t="s">
        <v>130</v>
      </c>
    </row>
    <row r="69" spans="10:10" x14ac:dyDescent="0.2">
      <c r="J69" s="23" t="s">
        <v>131</v>
      </c>
    </row>
    <row r="71" spans="10:10" x14ac:dyDescent="0.2">
      <c r="J71" s="35">
        <v>41563</v>
      </c>
    </row>
    <row r="72" spans="10:10" x14ac:dyDescent="0.2">
      <c r="J72" s="23" t="s">
        <v>132</v>
      </c>
    </row>
    <row r="74" spans="10:10" x14ac:dyDescent="0.2">
      <c r="J74" s="35">
        <v>42061</v>
      </c>
    </row>
    <row r="75" spans="10:10" x14ac:dyDescent="0.2">
      <c r="J75" s="23" t="s">
        <v>133</v>
      </c>
    </row>
    <row r="77" spans="10:10" x14ac:dyDescent="0.2">
      <c r="J77" s="23" t="s">
        <v>182</v>
      </c>
    </row>
    <row r="78" spans="10:10" x14ac:dyDescent="0.2">
      <c r="J78" s="23" t="s">
        <v>181</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3186" r:id="rId4" name="Button 2">
              <controlPr defaultSize="0" print="0" autoFill="0" autoPict="0" macro="[0]!Sheet18.データ出力ツール">
                <anchor moveWithCells="1" sizeWithCells="1">
                  <from>
                    <xdr:col>3</xdr:col>
                    <xdr:colOff>50800</xdr:colOff>
                    <xdr:row>2</xdr:row>
                    <xdr:rowOff>133350</xdr:rowOff>
                  </from>
                  <to>
                    <xdr:col>3</xdr:col>
                    <xdr:colOff>1822450</xdr:colOff>
                    <xdr:row>4</xdr:row>
                    <xdr:rowOff>88900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4"/>
  <dimension ref="A1:S39"/>
  <sheetViews>
    <sheetView zoomScaleNormal="100" workbookViewId="0">
      <selection activeCell="F2" sqref="F2"/>
    </sheetView>
  </sheetViews>
  <sheetFormatPr defaultRowHeight="13" x14ac:dyDescent="0.2"/>
  <cols>
    <col min="1" max="1" width="25.08984375" style="8" customWidth="1"/>
    <col min="2" max="2" width="12" style="8" bestFit="1" customWidth="1"/>
    <col min="3" max="3" width="11.453125" style="8" bestFit="1" customWidth="1"/>
    <col min="4" max="4" width="9" style="8"/>
    <col min="5" max="5" width="24.26953125" style="8" customWidth="1"/>
    <col min="7" max="7" width="2" customWidth="1"/>
    <col min="8" max="8" width="2" style="6" customWidth="1"/>
    <col min="9" max="9" width="2" customWidth="1"/>
    <col min="10" max="10" width="2.453125" style="30" customWidth="1"/>
    <col min="11" max="11" width="9" style="23"/>
  </cols>
  <sheetData>
    <row r="1" spans="1:19" ht="14" thickTop="1" thickBot="1" x14ac:dyDescent="0.25">
      <c r="A1" s="20" t="s">
        <v>4</v>
      </c>
      <c r="B1" s="21" t="s">
        <v>3</v>
      </c>
      <c r="C1" s="21" t="s">
        <v>2</v>
      </c>
      <c r="E1" s="9" t="s">
        <v>5</v>
      </c>
      <c r="F1" s="9" t="s">
        <v>185</v>
      </c>
    </row>
    <row r="2" spans="1:19" ht="13.5" thickTop="1" x14ac:dyDescent="0.2">
      <c r="A2" s="22"/>
      <c r="B2" s="22"/>
      <c r="C2" s="22"/>
      <c r="E2" s="10"/>
      <c r="J2" s="31" t="s">
        <v>47</v>
      </c>
    </row>
    <row r="3" spans="1:19" x14ac:dyDescent="0.2">
      <c r="A3" s="22"/>
      <c r="B3" s="22"/>
      <c r="C3" s="22"/>
      <c r="K3" s="23" t="s">
        <v>45</v>
      </c>
    </row>
    <row r="4" spans="1:19" x14ac:dyDescent="0.2">
      <c r="A4" s="22"/>
      <c r="B4" s="22"/>
      <c r="C4" s="22"/>
      <c r="K4" s="23" t="s">
        <v>46</v>
      </c>
    </row>
    <row r="5" spans="1:19" x14ac:dyDescent="0.2">
      <c r="A5" s="22"/>
      <c r="B5" s="22"/>
      <c r="C5" s="22"/>
      <c r="K5" s="23" t="s">
        <v>91</v>
      </c>
    </row>
    <row r="6" spans="1:19" x14ac:dyDescent="0.2">
      <c r="A6" s="22"/>
      <c r="B6" s="22"/>
      <c r="C6" s="22"/>
      <c r="E6" s="14" t="str">
        <f ca="1">IF(MID(CELL("filename",B1),FIND("[",CELL("filename",B1))+1,FIND("]",CELL("filename",B1))-FIND("[",CELL("filename",B1))-1)="エクセル用ツール.xlsm","ここからの直接起動はできません！","")</f>
        <v>ここからの直接起動はできません！</v>
      </c>
    </row>
    <row r="7" spans="1:19" x14ac:dyDescent="0.2">
      <c r="J7" s="32" t="s">
        <v>48</v>
      </c>
    </row>
    <row r="8" spans="1:19" x14ac:dyDescent="0.2">
      <c r="K8" s="23" t="s">
        <v>73</v>
      </c>
    </row>
    <row r="9" spans="1:19" x14ac:dyDescent="0.2">
      <c r="K9" s="23" t="s">
        <v>74</v>
      </c>
    </row>
    <row r="11" spans="1:19" x14ac:dyDescent="0.2">
      <c r="K11" s="23" t="s">
        <v>75</v>
      </c>
    </row>
    <row r="12" spans="1:19" x14ac:dyDescent="0.2">
      <c r="K12" s="23" t="s">
        <v>76</v>
      </c>
    </row>
    <row r="13" spans="1:19" x14ac:dyDescent="0.2">
      <c r="K13" s="23" t="s">
        <v>77</v>
      </c>
    </row>
    <row r="15" spans="1:19" x14ac:dyDescent="0.2">
      <c r="K15" s="23" t="s">
        <v>85</v>
      </c>
      <c r="L15" s="8"/>
      <c r="N15" s="8" t="s">
        <v>86</v>
      </c>
      <c r="O15" s="8"/>
      <c r="P15" s="8"/>
      <c r="Q15" s="8" t="s">
        <v>84</v>
      </c>
      <c r="R15" s="8"/>
      <c r="S15" s="8"/>
    </row>
    <row r="16" spans="1:19" x14ac:dyDescent="0.2">
      <c r="K16" s="25" t="s">
        <v>78</v>
      </c>
      <c r="L16" s="25" t="s">
        <v>79</v>
      </c>
      <c r="N16" s="26" t="s">
        <v>78</v>
      </c>
      <c r="O16" s="26" t="s">
        <v>79</v>
      </c>
      <c r="Q16" s="24" t="s">
        <v>78</v>
      </c>
      <c r="R16" s="24" t="s">
        <v>79</v>
      </c>
    </row>
    <row r="17" spans="10:18" x14ac:dyDescent="0.2">
      <c r="K17" s="19">
        <v>1003</v>
      </c>
      <c r="L17" s="19" t="str">
        <f ca="1">OFFSET($Q$1,MATCH(K17,Q:Q,0)-1, 1)</f>
        <v>たきび</v>
      </c>
      <c r="N17" s="19">
        <f ca="1">OFFSET($R$1,MATCH(O17,R:R,0)-1, -1)</f>
        <v>1004</v>
      </c>
      <c r="O17" s="19" t="s">
        <v>83</v>
      </c>
      <c r="Q17" s="19">
        <v>1001</v>
      </c>
      <c r="R17" s="19" t="s">
        <v>80</v>
      </c>
    </row>
    <row r="18" spans="10:18" x14ac:dyDescent="0.2">
      <c r="K18" s="19">
        <v>1002</v>
      </c>
      <c r="L18" s="19" t="str">
        <f ca="1">OFFSET($Q$1,MATCH(K18,Q:Q,0)-1, 1)</f>
        <v>につけ</v>
      </c>
      <c r="N18" s="19" t="e">
        <f ca="1">OFFSET($R$1,MATCH(O18,R:R,0)-1, -1)</f>
        <v>#N/A</v>
      </c>
      <c r="O18" s="19" t="s">
        <v>87</v>
      </c>
      <c r="Q18" s="19">
        <v>1002</v>
      </c>
      <c r="R18" s="19" t="s">
        <v>81</v>
      </c>
    </row>
    <row r="19" spans="10:18" x14ac:dyDescent="0.2">
      <c r="K19" s="19">
        <v>1001</v>
      </c>
      <c r="L19" s="19" t="str">
        <f ca="1">OFFSET($Q$1,MATCH(K19,Q:Q,0)-1, 1)</f>
        <v>おこし</v>
      </c>
      <c r="N19" s="19">
        <f ca="1">OFFSET($R$1,MATCH(O19,R:R,0)-1, -1)</f>
        <v>1001</v>
      </c>
      <c r="O19" s="19" t="s">
        <v>80</v>
      </c>
      <c r="Q19" s="19">
        <v>1003</v>
      </c>
      <c r="R19" s="19" t="s">
        <v>82</v>
      </c>
    </row>
    <row r="20" spans="10:18" x14ac:dyDescent="0.2">
      <c r="K20" s="19">
        <v>100</v>
      </c>
      <c r="L20" s="19" t="e">
        <f ca="1">OFFSET($Q$1,MATCH(K20,Q:Q,0)-1, 1)</f>
        <v>#N/A</v>
      </c>
      <c r="N20" s="19">
        <f ca="1">OFFSET($R$1,MATCH(O20,R:R,0)-1, -1)</f>
        <v>1001</v>
      </c>
      <c r="O20" s="19" t="s">
        <v>80</v>
      </c>
      <c r="Q20" s="19">
        <v>1004</v>
      </c>
      <c r="R20" s="19" t="s">
        <v>83</v>
      </c>
    </row>
    <row r="21" spans="10:18" x14ac:dyDescent="0.2">
      <c r="K21"/>
    </row>
    <row r="22" spans="10:18" x14ac:dyDescent="0.2">
      <c r="K22" s="23" t="s">
        <v>89</v>
      </c>
      <c r="L22" s="8"/>
      <c r="M22" s="8"/>
    </row>
    <row r="23" spans="10:18" x14ac:dyDescent="0.2">
      <c r="K23" s="8" t="s">
        <v>90</v>
      </c>
      <c r="L23" s="8"/>
      <c r="M23" s="8"/>
    </row>
    <row r="24" spans="10:18" x14ac:dyDescent="0.2">
      <c r="K24" s="8"/>
      <c r="L24" s="8"/>
      <c r="M24" s="8"/>
    </row>
    <row r="25" spans="10:18" x14ac:dyDescent="0.2">
      <c r="L25" s="28" t="s">
        <v>88</v>
      </c>
      <c r="M25" s="29"/>
      <c r="N25" s="29"/>
      <c r="O25" s="29"/>
      <c r="P25" s="29"/>
    </row>
    <row r="26" spans="10:18" x14ac:dyDescent="0.2">
      <c r="L26" s="27"/>
    </row>
    <row r="27" spans="10:18" x14ac:dyDescent="0.2">
      <c r="J27" s="33" t="s">
        <v>72</v>
      </c>
      <c r="L27" s="27"/>
    </row>
    <row r="28" spans="10:18" x14ac:dyDescent="0.2">
      <c r="K28" s="23" t="s">
        <v>64</v>
      </c>
    </row>
    <row r="29" spans="10:18" x14ac:dyDescent="0.2">
      <c r="K29" s="23" t="s">
        <v>65</v>
      </c>
    </row>
    <row r="30" spans="10:18" x14ac:dyDescent="0.2">
      <c r="K30" s="23" t="s">
        <v>125</v>
      </c>
    </row>
    <row r="32" spans="10:18" x14ac:dyDescent="0.2">
      <c r="K32" s="23" t="s">
        <v>66</v>
      </c>
    </row>
    <row r="33" spans="10:11" x14ac:dyDescent="0.2">
      <c r="K33" s="23" t="s">
        <v>67</v>
      </c>
    </row>
    <row r="34" spans="10:11" x14ac:dyDescent="0.2">
      <c r="K34" s="23" t="s">
        <v>62</v>
      </c>
    </row>
    <row r="36" spans="10:11" x14ac:dyDescent="0.2">
      <c r="J36" s="34" t="s">
        <v>63</v>
      </c>
    </row>
    <row r="38" spans="10:11" x14ac:dyDescent="0.2">
      <c r="K38" s="23" t="s">
        <v>101</v>
      </c>
    </row>
    <row r="39" spans="10:11" x14ac:dyDescent="0.2">
      <c r="K39" s="23" t="s">
        <v>102</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0593" r:id="rId3" name="Button 1">
              <controlPr defaultSize="0" print="0" autoFill="0" autoPict="0" macro="[0]!Sheet34.マクロ集約ツール">
                <anchor moveWithCells="1" sizeWithCells="1">
                  <from>
                    <xdr:col>4</xdr:col>
                    <xdr:colOff>38100</xdr:colOff>
                    <xdr:row>2</xdr:row>
                    <xdr:rowOff>165100</xdr:rowOff>
                  </from>
                  <to>
                    <xdr:col>4</xdr:col>
                    <xdr:colOff>1809750</xdr:colOff>
                    <xdr:row>4</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J22"/>
  <sheetViews>
    <sheetView workbookViewId="0"/>
  </sheetViews>
  <sheetFormatPr defaultRowHeight="13" x14ac:dyDescent="0.2"/>
  <cols>
    <col min="1" max="1" width="19.90625" customWidth="1"/>
    <col min="2" max="2" width="24.6328125" customWidth="1"/>
    <col min="4" max="5" width="14.7265625" customWidth="1"/>
    <col min="6" max="6" width="2" customWidth="1"/>
    <col min="7" max="7" width="2" style="37" customWidth="1"/>
    <col min="8" max="8" width="2" customWidth="1"/>
    <col min="9" max="9" width="2.453125" style="30" customWidth="1"/>
    <col min="10" max="10" width="9"/>
  </cols>
  <sheetData>
    <row r="1" spans="1:10" ht="14" thickTop="1" thickBot="1" x14ac:dyDescent="0.25">
      <c r="A1" s="21" t="s">
        <v>113</v>
      </c>
      <c r="B1" s="21" t="s">
        <v>114</v>
      </c>
      <c r="D1" s="9" t="s">
        <v>115</v>
      </c>
      <c r="E1" s="9" t="s">
        <v>126</v>
      </c>
    </row>
    <row r="2" spans="1:10" ht="13.5" thickTop="1" x14ac:dyDescent="0.2">
      <c r="A2" s="22"/>
      <c r="B2" s="22"/>
      <c r="I2" s="31" t="s">
        <v>47</v>
      </c>
    </row>
    <row r="3" spans="1:10" x14ac:dyDescent="0.2">
      <c r="A3" s="22"/>
      <c r="B3" s="22"/>
      <c r="J3" s="23" t="s">
        <v>45</v>
      </c>
    </row>
    <row r="4" spans="1:10" x14ac:dyDescent="0.2">
      <c r="A4" s="22"/>
      <c r="B4" s="22"/>
      <c r="J4" s="23" t="s">
        <v>46</v>
      </c>
    </row>
    <row r="5" spans="1:10" x14ac:dyDescent="0.2">
      <c r="A5" s="22"/>
      <c r="B5" s="22"/>
      <c r="J5" s="23"/>
    </row>
    <row r="6" spans="1:10" x14ac:dyDescent="0.2">
      <c r="A6" s="22"/>
      <c r="B6" s="22"/>
      <c r="D6" s="14" t="str">
        <f ca="1">IF(MID(CELL("filename",A1),FIND("[",CELL("filename",A1))+1,FIND("]",CELL("filename",A1))-FIND("[",CELL("filename",A1))-1)="エクセル用ツール.xlsm","ここからの直接起動はできません！","")</f>
        <v>ここからの直接起動はできません！</v>
      </c>
    </row>
    <row r="7" spans="1:10" x14ac:dyDescent="0.2">
      <c r="I7" s="32" t="s">
        <v>48</v>
      </c>
    </row>
    <row r="8" spans="1:10" x14ac:dyDescent="0.2">
      <c r="J8" t="s">
        <v>116</v>
      </c>
    </row>
    <row r="9" spans="1:10" x14ac:dyDescent="0.2">
      <c r="J9" t="s">
        <v>117</v>
      </c>
    </row>
    <row r="10" spans="1:10" x14ac:dyDescent="0.2">
      <c r="J10" t="s">
        <v>118</v>
      </c>
    </row>
    <row r="12" spans="1:10" x14ac:dyDescent="0.2">
      <c r="I12" s="33" t="s">
        <v>72</v>
      </c>
    </row>
    <row r="13" spans="1:10" x14ac:dyDescent="0.2">
      <c r="J13" s="23" t="s">
        <v>119</v>
      </c>
    </row>
    <row r="14" spans="1:10" x14ac:dyDescent="0.2">
      <c r="J14" s="23" t="s">
        <v>120</v>
      </c>
    </row>
    <row r="15" spans="1:10" x14ac:dyDescent="0.2">
      <c r="J15" s="23"/>
    </row>
    <row r="16" spans="1:10" x14ac:dyDescent="0.2">
      <c r="J16" s="23" t="s">
        <v>121</v>
      </c>
    </row>
    <row r="17" spans="9:10" x14ac:dyDescent="0.2">
      <c r="J17" s="23" t="s">
        <v>67</v>
      </c>
    </row>
    <row r="18" spans="9:10" x14ac:dyDescent="0.2">
      <c r="J18" s="23" t="s">
        <v>122</v>
      </c>
    </row>
    <row r="19" spans="9:10" x14ac:dyDescent="0.2">
      <c r="J19" s="23"/>
    </row>
    <row r="20" spans="9:10" x14ac:dyDescent="0.2">
      <c r="I20" s="34" t="s">
        <v>63</v>
      </c>
    </row>
    <row r="21" spans="9:10" x14ac:dyDescent="0.2">
      <c r="J21" s="23" t="s">
        <v>123</v>
      </c>
    </row>
    <row r="22" spans="9:10" x14ac:dyDescent="0.2">
      <c r="J22" s="23" t="s">
        <v>124</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1617" r:id="rId3" name="Button 1">
              <controlPr defaultSize="0" print="0" autoFill="0" autoPict="0" macro="[0]!Sheet1.HTML変換">
                <anchor moveWithCells="1" sizeWithCells="1">
                  <from>
                    <xdr:col>3</xdr:col>
                    <xdr:colOff>12700</xdr:colOff>
                    <xdr:row>2</xdr:row>
                    <xdr:rowOff>38100</xdr:rowOff>
                  </from>
                  <to>
                    <xdr:col>4</xdr:col>
                    <xdr:colOff>1098550</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47"/>
  <sheetViews>
    <sheetView tabSelected="1" workbookViewId="0">
      <selection activeCell="G2" sqref="G2"/>
    </sheetView>
  </sheetViews>
  <sheetFormatPr defaultColWidth="9" defaultRowHeight="13" x14ac:dyDescent="0.2"/>
  <cols>
    <col min="1" max="1" width="32.453125" bestFit="1" customWidth="1"/>
    <col min="2" max="2" width="19.36328125" customWidth="1"/>
    <col min="3" max="4" width="7.08984375" style="41" bestFit="1" customWidth="1"/>
    <col min="6" max="6" width="25" bestFit="1" customWidth="1"/>
    <col min="8" max="8" width="2" customWidth="1"/>
    <col min="9" max="9" width="2" style="5" customWidth="1"/>
    <col min="10" max="10" width="2" customWidth="1"/>
    <col min="11" max="11" width="2.453125" style="30" customWidth="1"/>
    <col min="12" max="12" width="9" style="41"/>
  </cols>
  <sheetData>
    <row r="1" spans="1:12" ht="14" thickTop="1" thickBot="1" x14ac:dyDescent="0.25">
      <c r="A1" s="2" t="s">
        <v>6</v>
      </c>
      <c r="B1" s="3" t="s">
        <v>0</v>
      </c>
      <c r="C1" s="38" t="s">
        <v>134</v>
      </c>
      <c r="D1" s="38" t="s">
        <v>135</v>
      </c>
      <c r="F1" s="4" t="s">
        <v>163</v>
      </c>
      <c r="G1" s="4" t="s">
        <v>187</v>
      </c>
    </row>
    <row r="2" spans="1:12" ht="13.5" thickTop="1" x14ac:dyDescent="0.2">
      <c r="A2" s="18"/>
      <c r="B2" s="19"/>
      <c r="C2" s="39"/>
      <c r="D2" s="39"/>
      <c r="F2" s="13"/>
      <c r="K2" s="31" t="s">
        <v>98</v>
      </c>
    </row>
    <row r="3" spans="1:12" x14ac:dyDescent="0.2">
      <c r="A3" s="19"/>
      <c r="B3" s="19"/>
      <c r="C3" s="39"/>
      <c r="D3" s="39"/>
      <c r="L3" s="23" t="s">
        <v>99</v>
      </c>
    </row>
    <row r="4" spans="1:12" x14ac:dyDescent="0.2">
      <c r="A4" s="19"/>
      <c r="B4" s="19"/>
      <c r="C4" s="39"/>
      <c r="D4" s="39"/>
      <c r="L4" s="36" t="s">
        <v>100</v>
      </c>
    </row>
    <row r="5" spans="1:12" x14ac:dyDescent="0.2">
      <c r="A5" s="18"/>
      <c r="B5" s="19"/>
      <c r="C5" s="39"/>
      <c r="D5" s="39"/>
      <c r="L5" s="23" t="s">
        <v>109</v>
      </c>
    </row>
    <row r="6" spans="1:12" x14ac:dyDescent="0.2">
      <c r="A6" s="7"/>
      <c r="B6" s="19"/>
      <c r="C6" s="39"/>
      <c r="D6" s="39"/>
      <c r="F6" s="14" t="str">
        <f ca="1">IF(MID(CELL("filename",A1),FIND("[",CELL("filename",A1))+1,FIND("]",CELL("filename",A1))-FIND("[",CELL("filename",A1))-1)="エクセル用ツール.xlsm","ここからの直接起動はできません！","")</f>
        <v>ここからの直接起動はできません！</v>
      </c>
      <c r="L6" s="23"/>
    </row>
    <row r="7" spans="1:12" x14ac:dyDescent="0.2">
      <c r="A7" s="18"/>
      <c r="B7" s="18"/>
      <c r="C7" s="40"/>
      <c r="D7" s="40"/>
      <c r="K7" s="32" t="s">
        <v>48</v>
      </c>
      <c r="L7" s="23"/>
    </row>
    <row r="8" spans="1:12" x14ac:dyDescent="0.2">
      <c r="L8" s="23" t="s">
        <v>136</v>
      </c>
    </row>
    <row r="9" spans="1:12" x14ac:dyDescent="0.2">
      <c r="L9" s="23" t="s">
        <v>137</v>
      </c>
    </row>
    <row r="10" spans="1:12" x14ac:dyDescent="0.2">
      <c r="L10" s="23" t="s">
        <v>138</v>
      </c>
    </row>
    <row r="11" spans="1:12" x14ac:dyDescent="0.2">
      <c r="K11" s="29"/>
      <c r="L11" s="23" t="s">
        <v>139</v>
      </c>
    </row>
    <row r="12" spans="1:12" x14ac:dyDescent="0.2">
      <c r="K12" s="29"/>
      <c r="L12" s="23"/>
    </row>
    <row r="13" spans="1:12" x14ac:dyDescent="0.2">
      <c r="K13" s="33" t="s">
        <v>72</v>
      </c>
      <c r="L13" s="23"/>
    </row>
    <row r="14" spans="1:12" x14ac:dyDescent="0.2">
      <c r="K14" s="29"/>
      <c r="L14" s="23"/>
    </row>
    <row r="15" spans="1:12" x14ac:dyDescent="0.2">
      <c r="L15" s="23" t="s">
        <v>54</v>
      </c>
    </row>
    <row r="16" spans="1:12" x14ac:dyDescent="0.2">
      <c r="L16" s="23" t="s">
        <v>49</v>
      </c>
    </row>
    <row r="17" spans="11:12" x14ac:dyDescent="0.2">
      <c r="L17" s="23" t="s">
        <v>140</v>
      </c>
    </row>
    <row r="18" spans="11:12" x14ac:dyDescent="0.2">
      <c r="L18" s="42" t="s">
        <v>141</v>
      </c>
    </row>
    <row r="19" spans="11:12" x14ac:dyDescent="0.2">
      <c r="L19" s="42" t="s">
        <v>142</v>
      </c>
    </row>
    <row r="21" spans="11:12" x14ac:dyDescent="0.2">
      <c r="L21" s="23" t="s">
        <v>143</v>
      </c>
    </row>
    <row r="22" spans="11:12" x14ac:dyDescent="0.2">
      <c r="L22" s="23" t="s">
        <v>144</v>
      </c>
    </row>
    <row r="23" spans="11:12" x14ac:dyDescent="0.2">
      <c r="L23" s="23"/>
    </row>
    <row r="24" spans="11:12" x14ac:dyDescent="0.2">
      <c r="L24" s="23" t="s">
        <v>57</v>
      </c>
    </row>
    <row r="25" spans="11:12" x14ac:dyDescent="0.2">
      <c r="L25" s="23" t="s">
        <v>58</v>
      </c>
    </row>
    <row r="26" spans="11:12" x14ac:dyDescent="0.2">
      <c r="L26" s="23"/>
    </row>
    <row r="27" spans="11:12" x14ac:dyDescent="0.2">
      <c r="L27" s="23" t="s">
        <v>145</v>
      </c>
    </row>
    <row r="28" spans="11:12" x14ac:dyDescent="0.2">
      <c r="L28" s="23" t="s">
        <v>146</v>
      </c>
    </row>
    <row r="29" spans="11:12" x14ac:dyDescent="0.2">
      <c r="K29" s="34"/>
      <c r="L29" s="23" t="s">
        <v>61</v>
      </c>
    </row>
    <row r="30" spans="11:12" x14ac:dyDescent="0.2">
      <c r="L30" s="23" t="s">
        <v>62</v>
      </c>
    </row>
    <row r="32" spans="11:12" x14ac:dyDescent="0.2">
      <c r="K32" s="34" t="s">
        <v>63</v>
      </c>
      <c r="L32" s="23"/>
    </row>
    <row r="33" spans="12:12" x14ac:dyDescent="0.2">
      <c r="L33" s="23"/>
    </row>
    <row r="34" spans="12:12" x14ac:dyDescent="0.2">
      <c r="L34" s="23" t="s">
        <v>164</v>
      </c>
    </row>
    <row r="35" spans="12:12" x14ac:dyDescent="0.2">
      <c r="L35" s="23" t="s">
        <v>165</v>
      </c>
    </row>
    <row r="37" spans="12:12" x14ac:dyDescent="0.2">
      <c r="L37" s="23" t="s">
        <v>166</v>
      </c>
    </row>
    <row r="38" spans="12:12" x14ac:dyDescent="0.2">
      <c r="L38" s="23" t="s">
        <v>167</v>
      </c>
    </row>
    <row r="40" spans="12:12" x14ac:dyDescent="0.2">
      <c r="L40" s="23" t="s">
        <v>168</v>
      </c>
    </row>
    <row r="41" spans="12:12" x14ac:dyDescent="0.2">
      <c r="L41" s="23" t="s">
        <v>169</v>
      </c>
    </row>
    <row r="43" spans="12:12" x14ac:dyDescent="0.2">
      <c r="L43" s="23" t="s">
        <v>179</v>
      </c>
    </row>
    <row r="44" spans="12:12" x14ac:dyDescent="0.2">
      <c r="L44" s="23" t="s">
        <v>180</v>
      </c>
    </row>
    <row r="46" spans="12:12" x14ac:dyDescent="0.2">
      <c r="L46" s="23" t="s">
        <v>182</v>
      </c>
    </row>
    <row r="47" spans="12:12" x14ac:dyDescent="0.2">
      <c r="L47" s="23" t="s">
        <v>183</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Sheet19.IDクラス出力ツール">
                <anchor moveWithCells="1" sizeWithCells="1">
                  <from>
                    <xdr:col>5</xdr:col>
                    <xdr:colOff>50800</xdr:colOff>
                    <xdr:row>2</xdr:row>
                    <xdr:rowOff>133350</xdr:rowOff>
                  </from>
                  <to>
                    <xdr:col>5</xdr:col>
                    <xdr:colOff>1822450</xdr:colOff>
                    <xdr:row>4</xdr:row>
                    <xdr:rowOff>88900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dimension ref="A1:J75"/>
  <sheetViews>
    <sheetView workbookViewId="0">
      <selection activeCell="E3" sqref="E3"/>
    </sheetView>
  </sheetViews>
  <sheetFormatPr defaultColWidth="9" defaultRowHeight="13" x14ac:dyDescent="0.2"/>
  <cols>
    <col min="1" max="1" width="32.453125" bestFit="1" customWidth="1"/>
    <col min="2" max="2" width="19.36328125" customWidth="1"/>
    <col min="4" max="4" width="25" customWidth="1"/>
    <col min="6" max="6" width="2" customWidth="1"/>
    <col min="7" max="7" width="2" style="5" customWidth="1"/>
    <col min="8" max="8" width="2" customWidth="1"/>
    <col min="9" max="9" width="2.453125" style="30" customWidth="1"/>
    <col min="10" max="10" width="10.26953125" style="23" bestFit="1" customWidth="1"/>
  </cols>
  <sheetData>
    <row r="1" spans="1:10" ht="14" thickTop="1" thickBot="1" x14ac:dyDescent="0.25">
      <c r="A1" s="2" t="s">
        <v>6</v>
      </c>
      <c r="B1" s="3" t="s">
        <v>0</v>
      </c>
      <c r="D1" s="4" t="s">
        <v>147</v>
      </c>
      <c r="E1" s="4" t="s">
        <v>186</v>
      </c>
      <c r="J1" s="41"/>
    </row>
    <row r="2" spans="1:10" ht="13.5" thickTop="1" x14ac:dyDescent="0.2">
      <c r="A2" s="18"/>
      <c r="B2" s="19"/>
      <c r="D2" s="13"/>
      <c r="I2" s="31" t="s">
        <v>98</v>
      </c>
      <c r="J2" s="41"/>
    </row>
    <row r="3" spans="1:10" x14ac:dyDescent="0.2">
      <c r="A3" s="19"/>
      <c r="B3" s="19"/>
      <c r="J3" s="23" t="s">
        <v>99</v>
      </c>
    </row>
    <row r="4" spans="1:10" x14ac:dyDescent="0.2">
      <c r="A4" s="19"/>
      <c r="B4" s="19"/>
      <c r="J4" s="36" t="s">
        <v>100</v>
      </c>
    </row>
    <row r="5" spans="1:10" x14ac:dyDescent="0.2">
      <c r="A5" s="18"/>
      <c r="B5" s="19"/>
      <c r="J5" s="23" t="s">
        <v>109</v>
      </c>
    </row>
    <row r="6" spans="1:10" x14ac:dyDescent="0.2">
      <c r="A6" s="7"/>
      <c r="B6" s="19"/>
      <c r="D6" s="14" t="str">
        <f ca="1">IF(MID(CELL("filename",A1),FIND("[",CELL("filename",A1))+1,FIND("]",CELL("filename",A1))-FIND("[",CELL("filename",A1))-1)="エクセル用ツール.xlsm","ここからの直接起動はできません！","")</f>
        <v>ここからの直接起動はできません！</v>
      </c>
    </row>
    <row r="7" spans="1:10" x14ac:dyDescent="0.2">
      <c r="A7" s="18"/>
      <c r="B7" s="18"/>
      <c r="I7" s="32" t="s">
        <v>48</v>
      </c>
    </row>
    <row r="8" spans="1:10" x14ac:dyDescent="0.2">
      <c r="J8" s="23" t="s">
        <v>148</v>
      </c>
    </row>
    <row r="9" spans="1:10" x14ac:dyDescent="0.2">
      <c r="J9" s="23" t="s">
        <v>149</v>
      </c>
    </row>
    <row r="10" spans="1:10" x14ac:dyDescent="0.2">
      <c r="J10" s="23" t="s">
        <v>150</v>
      </c>
    </row>
    <row r="11" spans="1:10" x14ac:dyDescent="0.2">
      <c r="I11" s="29"/>
      <c r="J11" s="23" t="s">
        <v>139</v>
      </c>
    </row>
    <row r="12" spans="1:10" x14ac:dyDescent="0.2">
      <c r="I12" s="29"/>
    </row>
    <row r="13" spans="1:10" x14ac:dyDescent="0.2">
      <c r="I13" s="33" t="s">
        <v>72</v>
      </c>
    </row>
    <row r="14" spans="1:10" x14ac:dyDescent="0.2">
      <c r="I14" s="29"/>
    </row>
    <row r="15" spans="1:10" x14ac:dyDescent="0.2">
      <c r="J15" s="23" t="s">
        <v>54</v>
      </c>
    </row>
    <row r="16" spans="1:10" x14ac:dyDescent="0.2">
      <c r="J16" s="23" t="s">
        <v>49</v>
      </c>
    </row>
    <row r="18" spans="9:10" x14ac:dyDescent="0.2">
      <c r="J18" s="23" t="s">
        <v>55</v>
      </c>
    </row>
    <row r="19" spans="9:10" x14ac:dyDescent="0.2">
      <c r="J19" s="23" t="s">
        <v>56</v>
      </c>
    </row>
    <row r="21" spans="9:10" x14ac:dyDescent="0.2">
      <c r="J21" s="23" t="s">
        <v>57</v>
      </c>
    </row>
    <row r="22" spans="9:10" x14ac:dyDescent="0.2">
      <c r="J22" s="23" t="s">
        <v>58</v>
      </c>
    </row>
    <row r="24" spans="9:10" x14ac:dyDescent="0.2">
      <c r="J24" s="23" t="s">
        <v>59</v>
      </c>
    </row>
    <row r="25" spans="9:10" x14ac:dyDescent="0.2">
      <c r="J25" s="23" t="s">
        <v>60</v>
      </c>
    </row>
    <row r="26" spans="9:10" x14ac:dyDescent="0.2">
      <c r="J26" s="23" t="s">
        <v>61</v>
      </c>
    </row>
    <row r="27" spans="9:10" x14ac:dyDescent="0.2">
      <c r="J27" s="23" t="s">
        <v>62</v>
      </c>
    </row>
    <row r="29" spans="9:10" x14ac:dyDescent="0.2">
      <c r="I29" s="34"/>
      <c r="J29" s="23" t="s">
        <v>151</v>
      </c>
    </row>
    <row r="30" spans="9:10" x14ac:dyDescent="0.2">
      <c r="J30" s="23" t="s">
        <v>152</v>
      </c>
    </row>
    <row r="31" spans="9:10" x14ac:dyDescent="0.2">
      <c r="J31" s="23" t="s">
        <v>153</v>
      </c>
    </row>
    <row r="33" spans="9:10" x14ac:dyDescent="0.2">
      <c r="J33" s="23" t="s">
        <v>157</v>
      </c>
    </row>
    <row r="34" spans="9:10" x14ac:dyDescent="0.2">
      <c r="J34" s="23" t="s">
        <v>156</v>
      </c>
    </row>
    <row r="35" spans="9:10" x14ac:dyDescent="0.2">
      <c r="J35" s="23" t="s">
        <v>159</v>
      </c>
    </row>
    <row r="37" spans="9:10" x14ac:dyDescent="0.2">
      <c r="J37" s="23" t="s">
        <v>158</v>
      </c>
    </row>
    <row r="38" spans="9:10" x14ac:dyDescent="0.2">
      <c r="J38" s="23" t="s">
        <v>155</v>
      </c>
    </row>
    <row r="39" spans="9:10" x14ac:dyDescent="0.2">
      <c r="J39" s="23" t="s">
        <v>154</v>
      </c>
    </row>
    <row r="41" spans="9:10" x14ac:dyDescent="0.2">
      <c r="I41" s="34" t="s">
        <v>63</v>
      </c>
    </row>
    <row r="42" spans="9:10" x14ac:dyDescent="0.2">
      <c r="J42" s="23" t="s">
        <v>160</v>
      </c>
    </row>
    <row r="43" spans="9:10" x14ac:dyDescent="0.2">
      <c r="J43" s="23" t="s">
        <v>161</v>
      </c>
    </row>
    <row r="44" spans="9:10" x14ac:dyDescent="0.2">
      <c r="J44" s="23" t="s">
        <v>162</v>
      </c>
    </row>
    <row r="46" spans="9:10" x14ac:dyDescent="0.2">
      <c r="J46" s="23" t="s">
        <v>170</v>
      </c>
    </row>
    <row r="47" spans="9:10" x14ac:dyDescent="0.2">
      <c r="J47" s="23" t="s">
        <v>171</v>
      </c>
    </row>
    <row r="49" spans="10:10" x14ac:dyDescent="0.2">
      <c r="J49" s="23" t="s">
        <v>172</v>
      </c>
    </row>
    <row r="50" spans="10:10" x14ac:dyDescent="0.2">
      <c r="J50" s="23" t="s">
        <v>173</v>
      </c>
    </row>
    <row r="51" spans="10:10" x14ac:dyDescent="0.2">
      <c r="J51" s="23" t="s">
        <v>174</v>
      </c>
    </row>
    <row r="53" spans="10:10" x14ac:dyDescent="0.2">
      <c r="J53" s="23" t="s">
        <v>175</v>
      </c>
    </row>
    <row r="54" spans="10:10" x14ac:dyDescent="0.2">
      <c r="J54" s="23" t="s">
        <v>176</v>
      </c>
    </row>
    <row r="56" spans="10:10" x14ac:dyDescent="0.2">
      <c r="J56" s="23" t="s">
        <v>177</v>
      </c>
    </row>
    <row r="57" spans="10:10" x14ac:dyDescent="0.2">
      <c r="J57" s="23" t="s">
        <v>178</v>
      </c>
    </row>
    <row r="59" spans="10:10" x14ac:dyDescent="0.2">
      <c r="J59" s="23" t="s">
        <v>182</v>
      </c>
    </row>
    <row r="60" spans="10:10" x14ac:dyDescent="0.2">
      <c r="J60" s="23" t="s">
        <v>181</v>
      </c>
    </row>
    <row r="62" spans="10:10" x14ac:dyDescent="0.2">
      <c r="J62" s="35"/>
    </row>
    <row r="65" spans="10:10" x14ac:dyDescent="0.2">
      <c r="J65" s="35"/>
    </row>
    <row r="68" spans="10:10" x14ac:dyDescent="0.2">
      <c r="J68" s="35"/>
    </row>
    <row r="72" spans="10:10" x14ac:dyDescent="0.2">
      <c r="J72" s="35"/>
    </row>
    <row r="75" spans="10:10" x14ac:dyDescent="0.2">
      <c r="J75" s="35"/>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Button 1">
              <controlPr defaultSize="0" print="0" autoFill="0" autoPict="0" macro="[0]!Sheet20.JSON出力ツール">
                <anchor moveWithCells="1" sizeWithCells="1">
                  <from>
                    <xdr:col>3</xdr:col>
                    <xdr:colOff>50800</xdr:colOff>
                    <xdr:row>2</xdr:row>
                    <xdr:rowOff>133350</xdr:rowOff>
                  </from>
                  <to>
                    <xdr:col>3</xdr:col>
                    <xdr:colOff>1822450</xdr:colOff>
                    <xdr:row>4</xdr:row>
                    <xdr:rowOff>88900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ツール導入方法</vt:lpstr>
      <vt:lpstr>出力ツール</vt:lpstr>
      <vt:lpstr>集約ツール</vt:lpstr>
      <vt:lpstr>HTML変換</vt:lpstr>
      <vt:lpstr>IDクラス出力ツール</vt:lpstr>
      <vt:lpstr>JSON出力ツール</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岡本 晴名(Okamoto Haruna)</dc:creator>
  <cp:lastModifiedBy>本田 裕基(Honda Hiroki)</cp:lastModifiedBy>
  <dcterms:created xsi:type="dcterms:W3CDTF">2012-03-12T08:44:29Z</dcterms:created>
  <dcterms:modified xsi:type="dcterms:W3CDTF">2026-02-06T02:56:11Z</dcterms:modified>
  <cp:contentStatus/>
</cp:coreProperties>
</file>